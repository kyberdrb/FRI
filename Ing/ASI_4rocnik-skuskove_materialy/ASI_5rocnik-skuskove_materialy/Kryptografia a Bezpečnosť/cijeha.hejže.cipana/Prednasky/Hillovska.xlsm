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120" windowWidth="14355" windowHeight="7485" activeTab="3"/>
  </bookViews>
  <sheets>
    <sheet name="Hárok1" sheetId="1" r:id="rId1"/>
    <sheet name="Hárok2" sheetId="2" r:id="rId2"/>
    <sheet name="Hárok3" sheetId="3" r:id="rId3"/>
    <sheet name="Hárok4" sheetId="5" r:id="rId4"/>
    <sheet name="Hárok5" sheetId="6" r:id="rId5"/>
  </sheets>
  <functionGroups/>
  <calcPr calcId="125725"/>
</workbook>
</file>

<file path=xl/calcChain.xml><?xml version="1.0" encoding="utf-8"?>
<calcChain xmlns="http://schemas.openxmlformats.org/spreadsheetml/2006/main">
  <c r="L4" i="5" a="1"/>
  <c r="L5" s="1"/>
  <c r="AS21" i="2"/>
  <c r="AR21"/>
  <c r="AQ21"/>
  <c r="AP21"/>
  <c r="AO21"/>
  <c r="AN21"/>
  <c r="AM21"/>
  <c r="AL21"/>
  <c r="AS20"/>
  <c r="AR20"/>
  <c r="AQ20"/>
  <c r="AP20"/>
  <c r="AO20"/>
  <c r="AN20"/>
  <c r="AM20"/>
  <c r="AL20"/>
  <c r="AS19"/>
  <c r="AR19"/>
  <c r="AQ19"/>
  <c r="AP19"/>
  <c r="AO19"/>
  <c r="AN19"/>
  <c r="AM19"/>
  <c r="AL19"/>
  <c r="AS18"/>
  <c r="AR18"/>
  <c r="AQ18"/>
  <c r="AP18"/>
  <c r="AO18"/>
  <c r="AN18"/>
  <c r="AM18"/>
  <c r="AL18"/>
  <c r="AS17"/>
  <c r="AR17"/>
  <c r="AQ17"/>
  <c r="AP17"/>
  <c r="AO17"/>
  <c r="AN17"/>
  <c r="AM17"/>
  <c r="AL17"/>
  <c r="AS16"/>
  <c r="AR16"/>
  <c r="AQ16"/>
  <c r="AP16"/>
  <c r="AO16"/>
  <c r="AN16"/>
  <c r="AM16"/>
  <c r="AL16"/>
  <c r="AS15"/>
  <c r="AR15"/>
  <c r="AQ15"/>
  <c r="AP15"/>
  <c r="AO15"/>
  <c r="AN15"/>
  <c r="AM15"/>
  <c r="AL15"/>
  <c r="AS14"/>
  <c r="AR14"/>
  <c r="AQ14"/>
  <c r="AP14"/>
  <c r="AO14"/>
  <c r="AN14"/>
  <c r="AM14"/>
  <c r="AL14"/>
  <c r="AF21"/>
  <c r="AF20"/>
  <c r="AF19"/>
  <c r="AF18"/>
  <c r="AF17"/>
  <c r="AF16"/>
  <c r="AF15"/>
  <c r="AF14"/>
  <c r="AD21"/>
  <c r="AC21"/>
  <c r="AB21"/>
  <c r="AA21"/>
  <c r="Z21"/>
  <c r="Y21"/>
  <c r="X21"/>
  <c r="W21"/>
  <c r="AD20"/>
  <c r="AC20"/>
  <c r="AB20"/>
  <c r="AA20"/>
  <c r="Z20"/>
  <c r="Y20"/>
  <c r="X20"/>
  <c r="W20"/>
  <c r="AD19"/>
  <c r="AC19"/>
  <c r="AB19"/>
  <c r="AA19"/>
  <c r="Z19"/>
  <c r="Y19"/>
  <c r="X19"/>
  <c r="W19"/>
  <c r="AD18"/>
  <c r="AC18"/>
  <c r="AB18"/>
  <c r="AA18"/>
  <c r="Z18"/>
  <c r="Y18"/>
  <c r="X18"/>
  <c r="W18"/>
  <c r="AD17"/>
  <c r="AC17"/>
  <c r="AB17"/>
  <c r="AA17"/>
  <c r="Z17"/>
  <c r="Y17"/>
  <c r="X17"/>
  <c r="W17"/>
  <c r="AD16"/>
  <c r="AC16"/>
  <c r="AB16"/>
  <c r="AA16"/>
  <c r="Z16"/>
  <c r="Y16"/>
  <c r="X16"/>
  <c r="W16"/>
  <c r="AD15"/>
  <c r="AC15"/>
  <c r="AB15"/>
  <c r="AA15"/>
  <c r="Z15"/>
  <c r="Y15"/>
  <c r="X15"/>
  <c r="W15"/>
  <c r="AD14"/>
  <c r="AC14"/>
  <c r="AB14"/>
  <c r="AA14"/>
  <c r="Z14"/>
  <c r="Y14"/>
  <c r="X14"/>
  <c r="W14"/>
  <c r="T21"/>
  <c r="S21"/>
  <c r="R21"/>
  <c r="Q21"/>
  <c r="P21"/>
  <c r="O21"/>
  <c r="N21"/>
  <c r="M21"/>
  <c r="T20"/>
  <c r="S20"/>
  <c r="R20"/>
  <c r="Q20"/>
  <c r="P20"/>
  <c r="O20"/>
  <c r="N20"/>
  <c r="M20"/>
  <c r="T19"/>
  <c r="S19"/>
  <c r="R19"/>
  <c r="Q19"/>
  <c r="P19"/>
  <c r="O19"/>
  <c r="N19"/>
  <c r="M19"/>
  <c r="T18"/>
  <c r="S18"/>
  <c r="R18"/>
  <c r="Q18"/>
  <c r="P18"/>
  <c r="O18"/>
  <c r="N18"/>
  <c r="M18"/>
  <c r="T17"/>
  <c r="S17"/>
  <c r="R17"/>
  <c r="Q17"/>
  <c r="P17"/>
  <c r="O17"/>
  <c r="N17"/>
  <c r="M17"/>
  <c r="T16"/>
  <c r="S16"/>
  <c r="R16"/>
  <c r="Q16"/>
  <c r="P16"/>
  <c r="O16"/>
  <c r="N16"/>
  <c r="M16"/>
  <c r="T15"/>
  <c r="S15"/>
  <c r="R15"/>
  <c r="Q15"/>
  <c r="P15"/>
  <c r="O15"/>
  <c r="N15"/>
  <c r="M15"/>
  <c r="T14"/>
  <c r="S14"/>
  <c r="R14"/>
  <c r="Q14"/>
  <c r="P14"/>
  <c r="O14"/>
  <c r="N14"/>
  <c r="M14"/>
  <c r="J21"/>
  <c r="I21"/>
  <c r="H21"/>
  <c r="G21"/>
  <c r="F21"/>
  <c r="E21"/>
  <c r="D21"/>
  <c r="C21"/>
  <c r="J20"/>
  <c r="I20"/>
  <c r="H20"/>
  <c r="G20"/>
  <c r="F20"/>
  <c r="E20"/>
  <c r="D20"/>
  <c r="C20"/>
  <c r="J19"/>
  <c r="I19"/>
  <c r="H19"/>
  <c r="G19"/>
  <c r="F19"/>
  <c r="E19"/>
  <c r="D19"/>
  <c r="C19"/>
  <c r="J18"/>
  <c r="I18"/>
  <c r="H18"/>
  <c r="G18"/>
  <c r="F18"/>
  <c r="E18"/>
  <c r="D18"/>
  <c r="C18"/>
  <c r="J17"/>
  <c r="I17"/>
  <c r="H17"/>
  <c r="G17"/>
  <c r="F17"/>
  <c r="E17"/>
  <c r="D17"/>
  <c r="C17"/>
  <c r="J16"/>
  <c r="I16"/>
  <c r="H16"/>
  <c r="G16"/>
  <c r="F16"/>
  <c r="E16"/>
  <c r="D16"/>
  <c r="C16"/>
  <c r="J15"/>
  <c r="I15"/>
  <c r="H15"/>
  <c r="G15"/>
  <c r="F15"/>
  <c r="E15"/>
  <c r="D15"/>
  <c r="C15"/>
  <c r="J14"/>
  <c r="I14"/>
  <c r="H14"/>
  <c r="G14"/>
  <c r="F14"/>
  <c r="E14"/>
  <c r="D14"/>
  <c r="C14"/>
  <c r="BB29"/>
  <c r="BB28"/>
  <c r="BB27"/>
  <c r="BC26"/>
  <c r="BB26"/>
  <c r="BC25"/>
  <c r="BB25"/>
  <c r="BC24"/>
  <c r="BB24"/>
  <c r="BC23"/>
  <c r="BB23"/>
  <c r="BC22"/>
  <c r="BB22"/>
  <c r="BC21"/>
  <c r="BB21"/>
  <c r="BC20"/>
  <c r="BB20"/>
  <c r="BC19"/>
  <c r="BB19"/>
  <c r="BC18"/>
  <c r="BB18"/>
  <c r="BC17"/>
  <c r="BB17"/>
  <c r="BC16"/>
  <c r="BB16"/>
  <c r="BC15"/>
  <c r="BB15"/>
  <c r="BC14"/>
  <c r="BB14"/>
  <c r="BC13"/>
  <c r="BB13"/>
  <c r="BC12"/>
  <c r="BB12"/>
  <c r="BC11"/>
  <c r="BB11"/>
  <c r="BC10"/>
  <c r="BB10"/>
  <c r="BC9"/>
  <c r="BB9"/>
  <c r="BC8"/>
  <c r="BB8"/>
  <c r="BC7"/>
  <c r="BB7"/>
  <c r="BC6"/>
  <c r="BB6"/>
  <c r="BC5"/>
  <c r="BB5"/>
  <c r="BC4"/>
  <c r="BB4"/>
  <c r="BC3"/>
  <c r="BB3"/>
  <c r="BC2"/>
  <c r="BB2"/>
  <c r="BC1"/>
  <c r="W1" a="1"/>
  <c r="X1" s="1"/>
  <c r="AN11" i="3"/>
  <c r="AM11"/>
  <c r="AL11"/>
  <c r="AK11"/>
  <c r="AJ11"/>
  <c r="AI11"/>
  <c r="AH11"/>
  <c r="AG11"/>
  <c r="AN10"/>
  <c r="AM10"/>
  <c r="AL10"/>
  <c r="AK10"/>
  <c r="AJ10"/>
  <c r="AI10"/>
  <c r="AH10"/>
  <c r="AG10"/>
  <c r="AN9"/>
  <c r="AM9"/>
  <c r="AL9"/>
  <c r="AK9"/>
  <c r="AJ9"/>
  <c r="AI9"/>
  <c r="AH9"/>
  <c r="AG9"/>
  <c r="AN8"/>
  <c r="AM8"/>
  <c r="AL8"/>
  <c r="AK8"/>
  <c r="AJ8"/>
  <c r="AI8"/>
  <c r="AH8"/>
  <c r="AG8"/>
  <c r="AN7"/>
  <c r="AM7"/>
  <c r="AL7"/>
  <c r="AK7"/>
  <c r="AJ7"/>
  <c r="AI7"/>
  <c r="AH7"/>
  <c r="AG7"/>
  <c r="AN6"/>
  <c r="AM6"/>
  <c r="AL6"/>
  <c r="AK6"/>
  <c r="AJ6"/>
  <c r="AI6"/>
  <c r="AH6"/>
  <c r="AG6"/>
  <c r="AN5"/>
  <c r="AM5"/>
  <c r="AL5"/>
  <c r="AK5"/>
  <c r="AJ5"/>
  <c r="AI5"/>
  <c r="AH5"/>
  <c r="AG5"/>
  <c r="AN4"/>
  <c r="AM4"/>
  <c r="AL4"/>
  <c r="AK4"/>
  <c r="AJ4"/>
  <c r="AI4"/>
  <c r="AH4"/>
  <c r="AG4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1"/>
  <c r="AI1"/>
  <c r="AE31"/>
  <c r="AD31"/>
  <c r="AC31"/>
  <c r="AB31"/>
  <c r="AA31"/>
  <c r="Z31"/>
  <c r="Y31"/>
  <c r="X31"/>
  <c r="AE30"/>
  <c r="AD30"/>
  <c r="AC30"/>
  <c r="AB30"/>
  <c r="AA30"/>
  <c r="Z30"/>
  <c r="Y30"/>
  <c r="X30"/>
  <c r="AE29"/>
  <c r="AD29"/>
  <c r="AC29"/>
  <c r="AB29"/>
  <c r="AA29"/>
  <c r="Z29"/>
  <c r="Y29"/>
  <c r="X29"/>
  <c r="AE28"/>
  <c r="AD28"/>
  <c r="AC28"/>
  <c r="AB28"/>
  <c r="AA28"/>
  <c r="Z28"/>
  <c r="Y28"/>
  <c r="X28"/>
  <c r="AE27"/>
  <c r="AD27"/>
  <c r="AC27"/>
  <c r="AB27"/>
  <c r="AA27"/>
  <c r="Z27"/>
  <c r="Y27"/>
  <c r="X27"/>
  <c r="AE26"/>
  <c r="AD26"/>
  <c r="AC26"/>
  <c r="AB26"/>
  <c r="AA26"/>
  <c r="Z26"/>
  <c r="Y26"/>
  <c r="X26"/>
  <c r="AE25"/>
  <c r="AD25"/>
  <c r="AC25"/>
  <c r="AB25"/>
  <c r="AA25"/>
  <c r="Z25"/>
  <c r="Y25"/>
  <c r="X25"/>
  <c r="AE24"/>
  <c r="AD24"/>
  <c r="AC24"/>
  <c r="AB24"/>
  <c r="AA24"/>
  <c r="Z24"/>
  <c r="Y24"/>
  <c r="X24"/>
  <c r="X14" a="1"/>
  <c r="Y14" s="1"/>
  <c r="V107"/>
  <c r="U107"/>
  <c r="T107"/>
  <c r="S107"/>
  <c r="R107"/>
  <c r="Q107"/>
  <c r="P107"/>
  <c r="O107"/>
  <c r="N107"/>
  <c r="M107"/>
  <c r="L107"/>
  <c r="K107"/>
  <c r="J107"/>
  <c r="I107"/>
  <c r="H107"/>
  <c r="G107"/>
  <c r="V98"/>
  <c r="U98"/>
  <c r="T98"/>
  <c r="S98"/>
  <c r="R98"/>
  <c r="Q98"/>
  <c r="P98"/>
  <c r="O98"/>
  <c r="N98"/>
  <c r="M98"/>
  <c r="L98"/>
  <c r="K98"/>
  <c r="J98"/>
  <c r="I98"/>
  <c r="H98"/>
  <c r="V97"/>
  <c r="U97"/>
  <c r="T97"/>
  <c r="S97"/>
  <c r="R97"/>
  <c r="Q97"/>
  <c r="P97"/>
  <c r="O97"/>
  <c r="N97"/>
  <c r="M97"/>
  <c r="L97"/>
  <c r="K97"/>
  <c r="J97"/>
  <c r="I97"/>
  <c r="H97"/>
  <c r="G97"/>
  <c r="G98"/>
  <c r="V89"/>
  <c r="U89"/>
  <c r="T89"/>
  <c r="S89"/>
  <c r="R89"/>
  <c r="Q89"/>
  <c r="P89"/>
  <c r="O89"/>
  <c r="N89"/>
  <c r="M89"/>
  <c r="L89"/>
  <c r="K89"/>
  <c r="J89"/>
  <c r="I89"/>
  <c r="H89"/>
  <c r="V88"/>
  <c r="U88"/>
  <c r="T88"/>
  <c r="S88"/>
  <c r="R88"/>
  <c r="Q88"/>
  <c r="P88"/>
  <c r="O88"/>
  <c r="N88"/>
  <c r="M88"/>
  <c r="L88"/>
  <c r="K88"/>
  <c r="J88"/>
  <c r="I88"/>
  <c r="H88"/>
  <c r="G88"/>
  <c r="V87"/>
  <c r="U87"/>
  <c r="T87"/>
  <c r="S87"/>
  <c r="R87"/>
  <c r="Q87"/>
  <c r="P87"/>
  <c r="O87"/>
  <c r="N87"/>
  <c r="M87"/>
  <c r="L87"/>
  <c r="K87"/>
  <c r="J87"/>
  <c r="I87"/>
  <c r="H87"/>
  <c r="G87"/>
  <c r="G89"/>
  <c r="V80"/>
  <c r="U80"/>
  <c r="T80"/>
  <c r="S80"/>
  <c r="R80"/>
  <c r="Q80"/>
  <c r="P80"/>
  <c r="O80"/>
  <c r="N80"/>
  <c r="M80"/>
  <c r="L80"/>
  <c r="K80"/>
  <c r="J80"/>
  <c r="I80"/>
  <c r="H80"/>
  <c r="V79"/>
  <c r="U79"/>
  <c r="T79"/>
  <c r="S79"/>
  <c r="R79"/>
  <c r="Q79"/>
  <c r="P79"/>
  <c r="O79"/>
  <c r="N79"/>
  <c r="M79"/>
  <c r="L79"/>
  <c r="K79"/>
  <c r="J79"/>
  <c r="I79"/>
  <c r="H79"/>
  <c r="G79"/>
  <c r="V78"/>
  <c r="U78"/>
  <c r="T78"/>
  <c r="S78"/>
  <c r="R78"/>
  <c r="Q78"/>
  <c r="P78"/>
  <c r="O78"/>
  <c r="N78"/>
  <c r="M78"/>
  <c r="L78"/>
  <c r="K78"/>
  <c r="J78"/>
  <c r="I78"/>
  <c r="H78"/>
  <c r="G78"/>
  <c r="V77"/>
  <c r="U77"/>
  <c r="T77"/>
  <c r="S77"/>
  <c r="R77"/>
  <c r="Q77"/>
  <c r="P77"/>
  <c r="O77"/>
  <c r="N77"/>
  <c r="M77"/>
  <c r="L77"/>
  <c r="K77"/>
  <c r="J77"/>
  <c r="I77"/>
  <c r="H77"/>
  <c r="G77"/>
  <c r="G80"/>
  <c r="V71"/>
  <c r="U71"/>
  <c r="T71"/>
  <c r="S71"/>
  <c r="R71"/>
  <c r="Q71"/>
  <c r="P71"/>
  <c r="O71"/>
  <c r="N71"/>
  <c r="M71"/>
  <c r="L71"/>
  <c r="K71"/>
  <c r="J71"/>
  <c r="I71"/>
  <c r="H71"/>
  <c r="V70"/>
  <c r="U70"/>
  <c r="T70"/>
  <c r="S70"/>
  <c r="R70"/>
  <c r="Q70"/>
  <c r="P70"/>
  <c r="O70"/>
  <c r="N70"/>
  <c r="M70"/>
  <c r="L70"/>
  <c r="K70"/>
  <c r="J70"/>
  <c r="I70"/>
  <c r="H70"/>
  <c r="G70"/>
  <c r="V69"/>
  <c r="U69"/>
  <c r="T69"/>
  <c r="S69"/>
  <c r="R69"/>
  <c r="Q69"/>
  <c r="P69"/>
  <c r="O69"/>
  <c r="N69"/>
  <c r="M69"/>
  <c r="L69"/>
  <c r="K69"/>
  <c r="J69"/>
  <c r="I69"/>
  <c r="H69"/>
  <c r="G69"/>
  <c r="V68"/>
  <c r="U68"/>
  <c r="T68"/>
  <c r="S68"/>
  <c r="R68"/>
  <c r="Q68"/>
  <c r="P68"/>
  <c r="O68"/>
  <c r="N68"/>
  <c r="M68"/>
  <c r="L68"/>
  <c r="K68"/>
  <c r="J68"/>
  <c r="I68"/>
  <c r="H68"/>
  <c r="G68"/>
  <c r="V67"/>
  <c r="U67"/>
  <c r="T67"/>
  <c r="S67"/>
  <c r="R67"/>
  <c r="Q67"/>
  <c r="P67"/>
  <c r="O67"/>
  <c r="N67"/>
  <c r="M67"/>
  <c r="L67"/>
  <c r="K67"/>
  <c r="J67"/>
  <c r="I67"/>
  <c r="H67"/>
  <c r="G67"/>
  <c r="G71"/>
  <c r="V62"/>
  <c r="U62"/>
  <c r="T62"/>
  <c r="S62"/>
  <c r="R62"/>
  <c r="Q62"/>
  <c r="P62"/>
  <c r="O62"/>
  <c r="N62"/>
  <c r="M62"/>
  <c r="L62"/>
  <c r="K62"/>
  <c r="J62"/>
  <c r="I62"/>
  <c r="H62"/>
  <c r="V61"/>
  <c r="U61"/>
  <c r="T61"/>
  <c r="S61"/>
  <c r="R61"/>
  <c r="Q61"/>
  <c r="P61"/>
  <c r="O61"/>
  <c r="N61"/>
  <c r="M61"/>
  <c r="L61"/>
  <c r="K61"/>
  <c r="J61"/>
  <c r="I61"/>
  <c r="H61"/>
  <c r="G61"/>
  <c r="V60"/>
  <c r="U60"/>
  <c r="T60"/>
  <c r="S60"/>
  <c r="R60"/>
  <c r="Q60"/>
  <c r="P60"/>
  <c r="O60"/>
  <c r="N60"/>
  <c r="M60"/>
  <c r="L60"/>
  <c r="K60"/>
  <c r="J60"/>
  <c r="I60"/>
  <c r="H60"/>
  <c r="G60"/>
  <c r="V59"/>
  <c r="U59"/>
  <c r="T59"/>
  <c r="S59"/>
  <c r="R59"/>
  <c r="Q59"/>
  <c r="P59"/>
  <c r="O59"/>
  <c r="N59"/>
  <c r="M59"/>
  <c r="L59"/>
  <c r="K59"/>
  <c r="J59"/>
  <c r="I59"/>
  <c r="H59"/>
  <c r="G59"/>
  <c r="V58"/>
  <c r="U58"/>
  <c r="T58"/>
  <c r="S58"/>
  <c r="R58"/>
  <c r="Q58"/>
  <c r="P58"/>
  <c r="O58"/>
  <c r="N58"/>
  <c r="M58"/>
  <c r="L58"/>
  <c r="K58"/>
  <c r="J58"/>
  <c r="I58"/>
  <c r="H58"/>
  <c r="G58"/>
  <c r="V57"/>
  <c r="U57"/>
  <c r="T57"/>
  <c r="S57"/>
  <c r="R57"/>
  <c r="Q57"/>
  <c r="P57"/>
  <c r="O57"/>
  <c r="N57"/>
  <c r="M57"/>
  <c r="L57"/>
  <c r="K57"/>
  <c r="J57"/>
  <c r="I57"/>
  <c r="H57"/>
  <c r="G57"/>
  <c r="G62"/>
  <c r="V52"/>
  <c r="U52"/>
  <c r="T52"/>
  <c r="S52"/>
  <c r="R52"/>
  <c r="Q52"/>
  <c r="P52"/>
  <c r="O52"/>
  <c r="N52"/>
  <c r="M52"/>
  <c r="L52"/>
  <c r="K52"/>
  <c r="J52"/>
  <c r="I52"/>
  <c r="H52"/>
  <c r="G52"/>
  <c r="V51"/>
  <c r="U51"/>
  <c r="T51"/>
  <c r="S51"/>
  <c r="R51"/>
  <c r="Q51"/>
  <c r="P51"/>
  <c r="O51"/>
  <c r="N51"/>
  <c r="M51"/>
  <c r="L51"/>
  <c r="K51"/>
  <c r="J51"/>
  <c r="I51"/>
  <c r="H51"/>
  <c r="G51"/>
  <c r="V50"/>
  <c r="U50"/>
  <c r="T50"/>
  <c r="S50"/>
  <c r="R50"/>
  <c r="Q50"/>
  <c r="P50"/>
  <c r="O50"/>
  <c r="N50"/>
  <c r="M50"/>
  <c r="L50"/>
  <c r="K50"/>
  <c r="J50"/>
  <c r="I50"/>
  <c r="H50"/>
  <c r="G50"/>
  <c r="V49"/>
  <c r="U49"/>
  <c r="T49"/>
  <c r="S49"/>
  <c r="R49"/>
  <c r="Q49"/>
  <c r="P49"/>
  <c r="O49"/>
  <c r="N49"/>
  <c r="M49"/>
  <c r="L49"/>
  <c r="K49"/>
  <c r="J49"/>
  <c r="I49"/>
  <c r="H49"/>
  <c r="G49"/>
  <c r="V48"/>
  <c r="U48"/>
  <c r="T48"/>
  <c r="S48"/>
  <c r="R48"/>
  <c r="Q48"/>
  <c r="P48"/>
  <c r="O48"/>
  <c r="N48"/>
  <c r="M48"/>
  <c r="L48"/>
  <c r="K48"/>
  <c r="J48"/>
  <c r="I48"/>
  <c r="H48"/>
  <c r="G48"/>
  <c r="V47"/>
  <c r="U47"/>
  <c r="T47"/>
  <c r="S47"/>
  <c r="R47"/>
  <c r="Q47"/>
  <c r="P47"/>
  <c r="O47"/>
  <c r="N47"/>
  <c r="M47"/>
  <c r="L47"/>
  <c r="K47"/>
  <c r="J47"/>
  <c r="I47"/>
  <c r="H47"/>
  <c r="G47"/>
  <c r="V53"/>
  <c r="U53"/>
  <c r="T53"/>
  <c r="S53"/>
  <c r="R53"/>
  <c r="Q53"/>
  <c r="P53"/>
  <c r="O53"/>
  <c r="N53"/>
  <c r="M53"/>
  <c r="L53"/>
  <c r="K53"/>
  <c r="J53"/>
  <c r="I53"/>
  <c r="H53"/>
  <c r="G53"/>
  <c r="V31"/>
  <c r="U31"/>
  <c r="T31"/>
  <c r="S31"/>
  <c r="R31"/>
  <c r="Q31"/>
  <c r="P31"/>
  <c r="O31"/>
  <c r="N31"/>
  <c r="M31"/>
  <c r="L31"/>
  <c r="K31"/>
  <c r="J31"/>
  <c r="I31"/>
  <c r="H31"/>
  <c r="V30"/>
  <c r="U30"/>
  <c r="T30"/>
  <c r="S30"/>
  <c r="R30"/>
  <c r="Q30"/>
  <c r="P30"/>
  <c r="O30"/>
  <c r="N30"/>
  <c r="M30"/>
  <c r="L30"/>
  <c r="K30"/>
  <c r="J30"/>
  <c r="I30"/>
  <c r="H30"/>
  <c r="V29"/>
  <c r="U29"/>
  <c r="T29"/>
  <c r="S29"/>
  <c r="R29"/>
  <c r="Q29"/>
  <c r="P29"/>
  <c r="O29"/>
  <c r="N29"/>
  <c r="M29"/>
  <c r="L29"/>
  <c r="K29"/>
  <c r="J29"/>
  <c r="I29"/>
  <c r="H29"/>
  <c r="V28"/>
  <c r="U28"/>
  <c r="T28"/>
  <c r="S28"/>
  <c r="R28"/>
  <c r="Q28"/>
  <c r="P28"/>
  <c r="O28"/>
  <c r="N28"/>
  <c r="M28"/>
  <c r="L28"/>
  <c r="K28"/>
  <c r="J28"/>
  <c r="I28"/>
  <c r="H28"/>
  <c r="V27"/>
  <c r="U27"/>
  <c r="T27"/>
  <c r="S27"/>
  <c r="R27"/>
  <c r="Q27"/>
  <c r="P27"/>
  <c r="O27"/>
  <c r="N27"/>
  <c r="M27"/>
  <c r="L27"/>
  <c r="K27"/>
  <c r="J27"/>
  <c r="I27"/>
  <c r="H27"/>
  <c r="V26"/>
  <c r="U26"/>
  <c r="T26"/>
  <c r="S26"/>
  <c r="R26"/>
  <c r="Q26"/>
  <c r="P26"/>
  <c r="O26"/>
  <c r="N26"/>
  <c r="M26"/>
  <c r="L26"/>
  <c r="K26"/>
  <c r="J26"/>
  <c r="I26"/>
  <c r="H26"/>
  <c r="V25"/>
  <c r="U25"/>
  <c r="T25"/>
  <c r="S25"/>
  <c r="R25"/>
  <c r="Q25"/>
  <c r="P25"/>
  <c r="O25"/>
  <c r="N25"/>
  <c r="M25"/>
  <c r="L25"/>
  <c r="K25"/>
  <c r="J25"/>
  <c r="I25"/>
  <c r="H25"/>
  <c r="V21"/>
  <c r="U21"/>
  <c r="T21"/>
  <c r="S21"/>
  <c r="R21"/>
  <c r="Q21"/>
  <c r="P21"/>
  <c r="O21"/>
  <c r="N21"/>
  <c r="M21"/>
  <c r="L21"/>
  <c r="K21"/>
  <c r="J21"/>
  <c r="I21"/>
  <c r="H21"/>
  <c r="G21"/>
  <c r="V20"/>
  <c r="U20"/>
  <c r="T20"/>
  <c r="S20"/>
  <c r="R20"/>
  <c r="Q20"/>
  <c r="P20"/>
  <c r="O20"/>
  <c r="N20"/>
  <c r="M20"/>
  <c r="L20"/>
  <c r="K20"/>
  <c r="J20"/>
  <c r="I20"/>
  <c r="H20"/>
  <c r="G20"/>
  <c r="V19"/>
  <c r="U19"/>
  <c r="T19"/>
  <c r="S19"/>
  <c r="R19"/>
  <c r="Q19"/>
  <c r="P19"/>
  <c r="O19"/>
  <c r="N19"/>
  <c r="M19"/>
  <c r="L19"/>
  <c r="K19"/>
  <c r="J19"/>
  <c r="I19"/>
  <c r="H19"/>
  <c r="G19"/>
  <c r="V18"/>
  <c r="U18"/>
  <c r="T18"/>
  <c r="S18"/>
  <c r="R18"/>
  <c r="Q18"/>
  <c r="P18"/>
  <c r="O18"/>
  <c r="N18"/>
  <c r="M18"/>
  <c r="L18"/>
  <c r="K18"/>
  <c r="J18"/>
  <c r="I18"/>
  <c r="H18"/>
  <c r="G18"/>
  <c r="V17"/>
  <c r="U17"/>
  <c r="T17"/>
  <c r="S17"/>
  <c r="R17"/>
  <c r="Q17"/>
  <c r="P17"/>
  <c r="O17"/>
  <c r="N17"/>
  <c r="M17"/>
  <c r="L17"/>
  <c r="K17"/>
  <c r="J17"/>
  <c r="I17"/>
  <c r="H17"/>
  <c r="G17"/>
  <c r="V16"/>
  <c r="U16"/>
  <c r="T16"/>
  <c r="S16"/>
  <c r="R16"/>
  <c r="Q16"/>
  <c r="P16"/>
  <c r="O16"/>
  <c r="N16"/>
  <c r="M16"/>
  <c r="L16"/>
  <c r="K16"/>
  <c r="J16"/>
  <c r="I16"/>
  <c r="H16"/>
  <c r="G16"/>
  <c r="G15"/>
  <c r="V15"/>
  <c r="U15"/>
  <c r="T15"/>
  <c r="S15"/>
  <c r="R15"/>
  <c r="Q15"/>
  <c r="P15"/>
  <c r="O15"/>
  <c r="N15"/>
  <c r="M15"/>
  <c r="L15"/>
  <c r="K15"/>
  <c r="J15"/>
  <c r="I15"/>
  <c r="H15"/>
  <c r="V14"/>
  <c r="U14"/>
  <c r="T14"/>
  <c r="S14"/>
  <c r="R14"/>
  <c r="Q14"/>
  <c r="P14"/>
  <c r="O14"/>
  <c r="N14"/>
  <c r="M14"/>
  <c r="L14"/>
  <c r="K14"/>
  <c r="J14"/>
  <c r="I14"/>
  <c r="H14"/>
  <c r="G14"/>
  <c r="F1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A26" i="2"/>
  <c r="X64"/>
  <c r="X63"/>
  <c r="X62"/>
  <c r="X61"/>
  <c r="X60"/>
  <c r="X59"/>
  <c r="X58"/>
  <c r="X57"/>
  <c r="X56"/>
  <c r="X55"/>
  <c r="X54"/>
  <c r="X53"/>
  <c r="X52"/>
  <c r="X51"/>
  <c r="X50"/>
  <c r="X49"/>
  <c r="X48"/>
  <c r="X47"/>
  <c r="X46"/>
  <c r="X45"/>
  <c r="X44"/>
  <c r="X43"/>
  <c r="X42"/>
  <c r="X41"/>
  <c r="X40"/>
  <c r="X39"/>
  <c r="X38"/>
  <c r="X37"/>
  <c r="AF5" i="1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L9" i="5" l="1"/>
  <c r="L6"/>
  <c r="L7"/>
  <c r="L4"/>
  <c r="L8"/>
  <c r="AI14" i="2" a="1"/>
  <c r="AI16" s="1"/>
  <c r="AJ16" s="1"/>
  <c r="AC8"/>
  <c r="W8"/>
  <c r="Y7"/>
  <c r="AA6"/>
  <c r="AC5"/>
  <c r="AB4"/>
  <c r="AD3"/>
  <c r="AB1"/>
  <c r="AD8"/>
  <c r="AA8"/>
  <c r="X8"/>
  <c r="AC7"/>
  <c r="Z7"/>
  <c r="W7"/>
  <c r="AB6"/>
  <c r="Y6"/>
  <c r="AD5"/>
  <c r="AA5"/>
  <c r="X5"/>
  <c r="AC4"/>
  <c r="Z4"/>
  <c r="W4"/>
  <c r="AB3"/>
  <c r="Y3"/>
  <c r="AD2"/>
  <c r="AA2"/>
  <c r="X2"/>
  <c r="AC1"/>
  <c r="Z1"/>
  <c r="W1"/>
  <c r="Z8"/>
  <c r="AB7"/>
  <c r="AD6"/>
  <c r="X6"/>
  <c r="Z5"/>
  <c r="W5"/>
  <c r="Y4"/>
  <c r="AA3"/>
  <c r="X3"/>
  <c r="AC2"/>
  <c r="Z2"/>
  <c r="W2"/>
  <c r="Y1"/>
  <c r="AB8"/>
  <c r="Y8"/>
  <c r="AD7"/>
  <c r="AA7"/>
  <c r="X7"/>
  <c r="AC6"/>
  <c r="Z6"/>
  <c r="W6"/>
  <c r="AB5"/>
  <c r="Y5"/>
  <c r="AD4"/>
  <c r="AA4"/>
  <c r="X4"/>
  <c r="AC3"/>
  <c r="Z3"/>
  <c r="W3"/>
  <c r="AB2"/>
  <c r="Y2"/>
  <c r="AD1"/>
  <c r="AA1"/>
  <c r="AD21" i="3"/>
  <c r="X21"/>
  <c r="Z20"/>
  <c r="AB19"/>
  <c r="AD18"/>
  <c r="X18"/>
  <c r="Z17"/>
  <c r="AC14"/>
  <c r="AE21"/>
  <c r="AB21"/>
  <c r="Y21"/>
  <c r="AD20"/>
  <c r="AA20"/>
  <c r="X20"/>
  <c r="AC19"/>
  <c r="Z19"/>
  <c r="AE18"/>
  <c r="AB18"/>
  <c r="Y18"/>
  <c r="AD17"/>
  <c r="AA17"/>
  <c r="X17"/>
  <c r="AC16"/>
  <c r="Z16"/>
  <c r="AE15"/>
  <c r="AB15"/>
  <c r="Y15"/>
  <c r="AD14"/>
  <c r="AA14"/>
  <c r="X14"/>
  <c r="AA21"/>
  <c r="AC20"/>
  <c r="AE19"/>
  <c r="Y19"/>
  <c r="AA18"/>
  <c r="AC17"/>
  <c r="AE16"/>
  <c r="AB16"/>
  <c r="Y16"/>
  <c r="AD15"/>
  <c r="AA15"/>
  <c r="X15"/>
  <c r="Z14"/>
  <c r="AC21"/>
  <c r="Z21"/>
  <c r="AE20"/>
  <c r="AB20"/>
  <c r="Y20"/>
  <c r="AD19"/>
  <c r="AA19"/>
  <c r="X19"/>
  <c r="AC18"/>
  <c r="Z18"/>
  <c r="AE17"/>
  <c r="AB17"/>
  <c r="Y17"/>
  <c r="AD16"/>
  <c r="AA16"/>
  <c r="X16"/>
  <c r="AC15"/>
  <c r="Z15"/>
  <c r="AE14"/>
  <c r="AB14"/>
  <c r="AV16" i="2" l="1"/>
  <c r="AU16"/>
  <c r="AI21"/>
  <c r="AJ21" s="1"/>
  <c r="AI20"/>
  <c r="AJ20" s="1"/>
  <c r="AI15"/>
  <c r="AJ15" s="1"/>
  <c r="AI14"/>
  <c r="AJ14" s="1"/>
  <c r="AI19"/>
  <c r="AJ19" s="1"/>
  <c r="AI18"/>
  <c r="AJ18" s="1"/>
  <c r="AI17"/>
  <c r="AJ17" s="1"/>
  <c r="AV19" l="1"/>
  <c r="AU19"/>
  <c r="AV20"/>
  <c r="AU20"/>
  <c r="AV18"/>
  <c r="AU18"/>
  <c r="AV15"/>
  <c r="AU15"/>
  <c r="AV17"/>
  <c r="AU17"/>
  <c r="AV14"/>
  <c r="AU14"/>
  <c r="AX14" s="1" a="1"/>
  <c r="AV21"/>
  <c r="AU21"/>
  <c r="AX19" l="1"/>
  <c r="AY19" s="1"/>
  <c r="AX15"/>
  <c r="AY15" s="1"/>
  <c r="AX21"/>
  <c r="AY21" s="1"/>
  <c r="AX20"/>
  <c r="AY20" s="1"/>
  <c r="AX14"/>
  <c r="AY14" s="1"/>
  <c r="AX18"/>
  <c r="AY18" s="1"/>
  <c r="AX17"/>
  <c r="AY17" s="1"/>
  <c r="AX16"/>
  <c r="AY16" s="1"/>
</calcChain>
</file>

<file path=xl/sharedStrings.xml><?xml version="1.0" encoding="utf-8"?>
<sst xmlns="http://schemas.openxmlformats.org/spreadsheetml/2006/main" count="99" uniqueCount="31">
  <si>
    <t>.</t>
  </si>
  <si>
    <t>,</t>
  </si>
  <si>
    <t>A</t>
  </si>
  <si>
    <t xml:space="preserve"> </t>
  </si>
  <si>
    <t>G</t>
  </si>
  <si>
    <t>H</t>
  </si>
  <si>
    <t>X</t>
  </si>
  <si>
    <t>=</t>
  </si>
  <si>
    <t>K</t>
  </si>
  <si>
    <t>TRANSPOZIČNÁ  ŠIFRA</t>
  </si>
  <si>
    <t>HILLOVSKÁ ŠIFRA</t>
  </si>
  <si>
    <t>K^-1</t>
  </si>
  <si>
    <t>P</t>
  </si>
  <si>
    <t>S</t>
  </si>
  <si>
    <t>L</t>
  </si>
  <si>
    <t>I</t>
  </si>
  <si>
    <t>T</t>
  </si>
  <si>
    <t>E</t>
  </si>
  <si>
    <t>O</t>
  </si>
  <si>
    <t>D</t>
  </si>
  <si>
    <t xml:space="preserve">O </t>
  </si>
  <si>
    <t>M</t>
  </si>
  <si>
    <t>Y</t>
  </si>
  <si>
    <t>C</t>
  </si>
  <si>
    <t>U</t>
  </si>
  <si>
    <t>N</t>
  </si>
  <si>
    <t>V</t>
  </si>
  <si>
    <t xml:space="preserve">  </t>
  </si>
  <si>
    <t>R</t>
  </si>
  <si>
    <t xml:space="preserve">, </t>
  </si>
  <si>
    <t>W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</si>
</sst>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7" fillId="0" borderId="0" xfId="0" applyFont="1"/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0" fillId="5" borderId="1" xfId="0" applyFill="1" applyBorder="1"/>
    <xf numFmtId="0" fontId="1" fillId="0" borderId="0" xfId="0" applyFont="1" applyAlignment="1">
      <alignment horizontal="center"/>
    </xf>
  </cellXfs>
  <cellStyles count="1">
    <cellStyle name="normálne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árok1"/>
  <dimension ref="A1:AF30"/>
  <sheetViews>
    <sheetView workbookViewId="0">
      <selection activeCell="E1" sqref="E1:AF3"/>
    </sheetView>
  </sheetViews>
  <sheetFormatPr defaultColWidth="6.42578125" defaultRowHeight="15"/>
  <cols>
    <col min="4" max="32" width="6.85546875" customWidth="1"/>
  </cols>
  <sheetData>
    <row r="1" spans="1:32" ht="15.75" thickBot="1"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</row>
    <row r="2" spans="1:32">
      <c r="C2">
        <v>0</v>
      </c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4"/>
    </row>
    <row r="3" spans="1:32">
      <c r="C3">
        <v>1</v>
      </c>
      <c r="D3" s="5"/>
      <c r="E3" s="1">
        <f>MOD(MOD(E1^3,29)*MOD(MOD(E1^4,29)^2,29)*MOD(MOD(MOD(E1^4,29)^2,29)^2,29),29)</f>
        <v>1</v>
      </c>
      <c r="F3" s="1">
        <f t="shared" ref="F3:AF3" si="0">MOD(MOD(F1^3,29)*MOD(MOD(F1^4,29)^2,29)*MOD(MOD(MOD(F1^4,29)^2,29)^2,29),29)</f>
        <v>15</v>
      </c>
      <c r="G3" s="1">
        <f t="shared" si="0"/>
        <v>10</v>
      </c>
      <c r="H3" s="1">
        <f t="shared" si="0"/>
        <v>22</v>
      </c>
      <c r="I3" s="1">
        <f t="shared" si="0"/>
        <v>6</v>
      </c>
      <c r="J3" s="1">
        <f t="shared" si="0"/>
        <v>5</v>
      </c>
      <c r="K3" s="1">
        <f t="shared" si="0"/>
        <v>25</v>
      </c>
      <c r="L3" s="1">
        <f t="shared" si="0"/>
        <v>11</v>
      </c>
      <c r="M3" s="1">
        <f t="shared" si="0"/>
        <v>13</v>
      </c>
      <c r="N3" s="1">
        <f t="shared" si="0"/>
        <v>3</v>
      </c>
      <c r="O3" s="1">
        <f t="shared" si="0"/>
        <v>8</v>
      </c>
      <c r="P3" s="1">
        <f t="shared" si="0"/>
        <v>17</v>
      </c>
      <c r="Q3" s="1">
        <f t="shared" si="0"/>
        <v>9</v>
      </c>
      <c r="R3" s="1">
        <f t="shared" si="0"/>
        <v>27</v>
      </c>
      <c r="S3" s="1">
        <f t="shared" si="0"/>
        <v>2</v>
      </c>
      <c r="T3" s="1">
        <f t="shared" si="0"/>
        <v>20</v>
      </c>
      <c r="U3" s="1">
        <f t="shared" si="0"/>
        <v>12</v>
      </c>
      <c r="V3" s="1">
        <f t="shared" si="0"/>
        <v>21</v>
      </c>
      <c r="W3" s="1">
        <f t="shared" si="0"/>
        <v>26</v>
      </c>
      <c r="X3" s="1">
        <f t="shared" si="0"/>
        <v>16</v>
      </c>
      <c r="Y3" s="1">
        <f t="shared" si="0"/>
        <v>18</v>
      </c>
      <c r="Z3" s="1">
        <f t="shared" si="0"/>
        <v>4</v>
      </c>
      <c r="AA3" s="1">
        <f t="shared" si="0"/>
        <v>24</v>
      </c>
      <c r="AB3" s="1">
        <f t="shared" si="0"/>
        <v>23</v>
      </c>
      <c r="AC3" s="1">
        <f t="shared" si="0"/>
        <v>7</v>
      </c>
      <c r="AD3" s="1">
        <f t="shared" si="0"/>
        <v>19</v>
      </c>
      <c r="AE3" s="1">
        <f t="shared" si="0"/>
        <v>14</v>
      </c>
      <c r="AF3" s="1">
        <f t="shared" si="0"/>
        <v>28</v>
      </c>
    </row>
    <row r="4" spans="1:32">
      <c r="C4">
        <v>2</v>
      </c>
      <c r="D4" s="5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>
      <c r="B5">
        <v>4</v>
      </c>
      <c r="C5">
        <v>3</v>
      </c>
      <c r="D5" s="5"/>
      <c r="E5" s="1">
        <f>MOD(E3*E1,29)</f>
        <v>1</v>
      </c>
      <c r="F5" s="1">
        <f t="shared" ref="F5:AF5" si="1">MOD(F3*F1,29)</f>
        <v>1</v>
      </c>
      <c r="G5" s="1">
        <f t="shared" si="1"/>
        <v>1</v>
      </c>
      <c r="H5" s="1">
        <f t="shared" si="1"/>
        <v>1</v>
      </c>
      <c r="I5" s="1">
        <f t="shared" si="1"/>
        <v>1</v>
      </c>
      <c r="J5" s="1">
        <f t="shared" si="1"/>
        <v>1</v>
      </c>
      <c r="K5" s="1">
        <f t="shared" si="1"/>
        <v>1</v>
      </c>
      <c r="L5" s="1">
        <f t="shared" si="1"/>
        <v>1</v>
      </c>
      <c r="M5" s="1">
        <f t="shared" si="1"/>
        <v>1</v>
      </c>
      <c r="N5" s="1">
        <f t="shared" si="1"/>
        <v>1</v>
      </c>
      <c r="O5" s="1">
        <f t="shared" si="1"/>
        <v>1</v>
      </c>
      <c r="P5" s="1">
        <f t="shared" si="1"/>
        <v>1</v>
      </c>
      <c r="Q5" s="1">
        <f t="shared" si="1"/>
        <v>1</v>
      </c>
      <c r="R5" s="1">
        <f t="shared" si="1"/>
        <v>1</v>
      </c>
      <c r="S5" s="1">
        <f t="shared" si="1"/>
        <v>1</v>
      </c>
      <c r="T5" s="1">
        <f t="shared" si="1"/>
        <v>1</v>
      </c>
      <c r="U5" s="1">
        <f t="shared" si="1"/>
        <v>1</v>
      </c>
      <c r="V5" s="1">
        <f t="shared" si="1"/>
        <v>1</v>
      </c>
      <c r="W5" s="1">
        <f t="shared" si="1"/>
        <v>1</v>
      </c>
      <c r="X5" s="1">
        <f t="shared" si="1"/>
        <v>1</v>
      </c>
      <c r="Y5" s="1">
        <f t="shared" si="1"/>
        <v>1</v>
      </c>
      <c r="Z5" s="1">
        <f t="shared" si="1"/>
        <v>1</v>
      </c>
      <c r="AA5" s="1">
        <f t="shared" si="1"/>
        <v>1</v>
      </c>
      <c r="AB5" s="1">
        <f t="shared" si="1"/>
        <v>1</v>
      </c>
      <c r="AC5" s="1">
        <f t="shared" si="1"/>
        <v>1</v>
      </c>
      <c r="AD5" s="1">
        <f t="shared" si="1"/>
        <v>1</v>
      </c>
      <c r="AE5" s="1">
        <f t="shared" si="1"/>
        <v>1</v>
      </c>
      <c r="AF5" s="1">
        <f t="shared" si="1"/>
        <v>1</v>
      </c>
    </row>
    <row r="6" spans="1:32">
      <c r="B6">
        <v>8</v>
      </c>
      <c r="C6">
        <v>4</v>
      </c>
      <c r="D6" s="5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>
      <c r="B7">
        <v>16</v>
      </c>
      <c r="C7">
        <v>5</v>
      </c>
      <c r="D7" s="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>
      <c r="A8">
        <v>16</v>
      </c>
      <c r="C8">
        <v>6</v>
      </c>
      <c r="D8" s="5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>
      <c r="A9">
        <v>8</v>
      </c>
      <c r="C9">
        <v>7</v>
      </c>
      <c r="D9" s="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6"/>
    </row>
    <row r="10" spans="1:32">
      <c r="A10">
        <v>4</v>
      </c>
      <c r="C10">
        <v>8</v>
      </c>
      <c r="D10" s="5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6"/>
    </row>
    <row r="11" spans="1:32">
      <c r="C11">
        <v>9</v>
      </c>
      <c r="D11" s="5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6"/>
    </row>
    <row r="12" spans="1:32">
      <c r="C12">
        <v>10</v>
      </c>
      <c r="D12" s="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6"/>
    </row>
    <row r="13" spans="1:32">
      <c r="C13">
        <v>11</v>
      </c>
      <c r="D13" s="5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6"/>
    </row>
    <row r="14" spans="1:32">
      <c r="C14">
        <v>12</v>
      </c>
      <c r="D14" s="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6"/>
    </row>
    <row r="15" spans="1:32">
      <c r="C15">
        <v>13</v>
      </c>
      <c r="D15" s="5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6"/>
    </row>
    <row r="16" spans="1:32">
      <c r="C16">
        <v>14</v>
      </c>
      <c r="D16" s="5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6"/>
    </row>
    <row r="17" spans="3:32">
      <c r="C17">
        <v>15</v>
      </c>
      <c r="D17" s="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6"/>
    </row>
    <row r="18" spans="3:32">
      <c r="C18">
        <v>16</v>
      </c>
      <c r="D18" s="5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6"/>
    </row>
    <row r="19" spans="3:32">
      <c r="C19">
        <v>17</v>
      </c>
      <c r="D19" s="5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6"/>
    </row>
    <row r="20" spans="3:32">
      <c r="C20">
        <v>18</v>
      </c>
      <c r="D20" s="5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6"/>
    </row>
    <row r="21" spans="3:32">
      <c r="C21">
        <v>19</v>
      </c>
      <c r="D21" s="5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6"/>
    </row>
    <row r="22" spans="3:32">
      <c r="C22">
        <v>20</v>
      </c>
      <c r="D22" s="5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6"/>
    </row>
    <row r="23" spans="3:32">
      <c r="C23">
        <v>21</v>
      </c>
      <c r="D23" s="5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6"/>
    </row>
    <row r="24" spans="3:32">
      <c r="C24">
        <v>22</v>
      </c>
      <c r="D24" s="5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6"/>
    </row>
    <row r="25" spans="3:32">
      <c r="C25">
        <v>23</v>
      </c>
      <c r="D25" s="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6"/>
    </row>
    <row r="26" spans="3:32">
      <c r="C26">
        <v>24</v>
      </c>
      <c r="D26" s="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6"/>
    </row>
    <row r="27" spans="3:32">
      <c r="C27">
        <v>25</v>
      </c>
      <c r="D27" s="5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6"/>
    </row>
    <row r="28" spans="3:32">
      <c r="C28">
        <v>26</v>
      </c>
      <c r="D28" s="5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6"/>
    </row>
    <row r="29" spans="3:32">
      <c r="C29">
        <v>27</v>
      </c>
      <c r="D29" s="5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6"/>
    </row>
    <row r="30" spans="3:32" ht="15.75" thickBot="1">
      <c r="C30">
        <v>28</v>
      </c>
      <c r="D30" s="7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árok2"/>
  <dimension ref="A1:BD213"/>
  <sheetViews>
    <sheetView topLeftCell="Y7" zoomScale="146" zoomScaleNormal="146" workbookViewId="0">
      <selection activeCell="AH23" sqref="AH23"/>
    </sheetView>
  </sheetViews>
  <sheetFormatPr defaultColWidth="6.140625" defaultRowHeight="15"/>
  <cols>
    <col min="3" max="10" width="4" customWidth="1"/>
    <col min="13" max="20" width="4" customWidth="1"/>
    <col min="22" max="22" width="11.85546875" bestFit="1" customWidth="1"/>
    <col min="23" max="30" width="4.28515625" customWidth="1"/>
    <col min="31" max="31" width="7.42578125" customWidth="1"/>
    <col min="32" max="32" width="4.42578125" style="31" customWidth="1"/>
    <col min="33" max="33" width="3.28515625" customWidth="1"/>
    <col min="34" max="34" width="4.5703125" customWidth="1"/>
    <col min="35" max="35" width="4.85546875" style="31" customWidth="1"/>
    <col min="36" max="36" width="3.7109375" customWidth="1"/>
    <col min="38" max="45" width="4.140625" customWidth="1"/>
    <col min="47" max="47" width="3.7109375" customWidth="1"/>
    <col min="48" max="48" width="3.28515625" customWidth="1"/>
    <col min="50" max="50" width="4.7109375" customWidth="1"/>
    <col min="51" max="51" width="4.28515625" customWidth="1"/>
    <col min="55" max="55" width="4.28515625" customWidth="1"/>
    <col min="56" max="56" width="4.85546875" customWidth="1"/>
  </cols>
  <sheetData>
    <row r="1" spans="1: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W1">
        <f t="array" ref="W1:AD8">MOD(MMULT(C4:J11,M4:T11),29)</f>
        <v>1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BA1">
        <v>0</v>
      </c>
      <c r="BB1">
        <v>0</v>
      </c>
      <c r="BC1" t="str">
        <f>CHAR(65+BA1)</f>
        <v>A</v>
      </c>
      <c r="BD1">
        <v>0</v>
      </c>
    </row>
    <row r="2" spans="1:56">
      <c r="W2">
        <v>0</v>
      </c>
      <c r="X2">
        <v>1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BA2" s="10">
        <v>1</v>
      </c>
      <c r="BB2" s="10">
        <f t="shared" ref="BB2:BB29" si="0">MOD(MOD(BA2^3,29)*MOD(MOD(BA2^4,29)^2,29)*MOD(MOD(MOD(BA2^4,29)^2,29)^2,29),29)</f>
        <v>1</v>
      </c>
      <c r="BC2" t="str">
        <f t="shared" ref="BC2:BC26" si="1">CHAR(65+BA2)</f>
        <v>B</v>
      </c>
      <c r="BD2" s="10">
        <v>1</v>
      </c>
    </row>
    <row r="3" spans="1:56" ht="15.75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W3">
        <v>0</v>
      </c>
      <c r="X3">
        <v>0</v>
      </c>
      <c r="Y3">
        <v>1</v>
      </c>
      <c r="Z3">
        <v>0</v>
      </c>
      <c r="AA3">
        <v>0</v>
      </c>
      <c r="AB3">
        <v>0</v>
      </c>
      <c r="AC3">
        <v>0</v>
      </c>
      <c r="AD3">
        <v>0</v>
      </c>
      <c r="BA3" s="10">
        <v>2</v>
      </c>
      <c r="BB3" s="10">
        <f t="shared" si="0"/>
        <v>15</v>
      </c>
      <c r="BC3" t="str">
        <f t="shared" si="1"/>
        <v>C</v>
      </c>
      <c r="BD3" s="10">
        <v>2</v>
      </c>
    </row>
    <row r="4" spans="1:56">
      <c r="B4">
        <v>1</v>
      </c>
      <c r="C4" s="14">
        <v>22</v>
      </c>
      <c r="D4" s="15">
        <v>2</v>
      </c>
      <c r="E4" s="15">
        <v>27</v>
      </c>
      <c r="F4" s="15">
        <v>0</v>
      </c>
      <c r="G4" s="15">
        <v>6</v>
      </c>
      <c r="H4" s="15">
        <v>11</v>
      </c>
      <c r="I4" s="15">
        <v>0</v>
      </c>
      <c r="J4" s="16">
        <v>17</v>
      </c>
      <c r="M4" s="22">
        <v>13</v>
      </c>
      <c r="N4" s="23">
        <v>16</v>
      </c>
      <c r="O4" s="23">
        <v>15</v>
      </c>
      <c r="P4" s="23">
        <v>9</v>
      </c>
      <c r="Q4" s="23">
        <v>3</v>
      </c>
      <c r="R4" s="23">
        <v>21</v>
      </c>
      <c r="S4" s="23">
        <v>0</v>
      </c>
      <c r="T4" s="24">
        <v>2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0</v>
      </c>
      <c r="BA4" s="10">
        <v>3</v>
      </c>
      <c r="BB4" s="10">
        <f t="shared" si="0"/>
        <v>10</v>
      </c>
      <c r="BC4" t="str">
        <f t="shared" si="1"/>
        <v>D</v>
      </c>
      <c r="BD4" s="10">
        <v>3</v>
      </c>
    </row>
    <row r="5" spans="1:56">
      <c r="B5">
        <v>2</v>
      </c>
      <c r="C5" s="17">
        <v>3</v>
      </c>
      <c r="D5" s="11">
        <v>19</v>
      </c>
      <c r="E5" s="11">
        <v>3</v>
      </c>
      <c r="F5" s="11">
        <v>5</v>
      </c>
      <c r="G5" s="11">
        <v>23</v>
      </c>
      <c r="H5" s="11">
        <v>6</v>
      </c>
      <c r="I5" s="11">
        <v>7</v>
      </c>
      <c r="J5" s="18">
        <v>22</v>
      </c>
      <c r="M5" s="25">
        <v>28</v>
      </c>
      <c r="N5" s="26">
        <v>8</v>
      </c>
      <c r="O5" s="26">
        <v>16</v>
      </c>
      <c r="P5" s="26">
        <v>18</v>
      </c>
      <c r="Q5" s="26">
        <v>8</v>
      </c>
      <c r="R5" s="26">
        <v>15</v>
      </c>
      <c r="S5" s="26">
        <v>28</v>
      </c>
      <c r="T5" s="27">
        <v>18</v>
      </c>
      <c r="W5">
        <v>0</v>
      </c>
      <c r="X5">
        <v>0</v>
      </c>
      <c r="Y5">
        <v>0</v>
      </c>
      <c r="Z5">
        <v>0</v>
      </c>
      <c r="AA5">
        <v>1</v>
      </c>
      <c r="AB5">
        <v>0</v>
      </c>
      <c r="AC5">
        <v>0</v>
      </c>
      <c r="AD5">
        <v>0</v>
      </c>
      <c r="BA5" s="10">
        <v>4</v>
      </c>
      <c r="BB5" s="10">
        <f t="shared" si="0"/>
        <v>22</v>
      </c>
      <c r="BC5" t="str">
        <f t="shared" si="1"/>
        <v>E</v>
      </c>
      <c r="BD5" s="10">
        <v>4</v>
      </c>
    </row>
    <row r="6" spans="1:56">
      <c r="B6">
        <v>3</v>
      </c>
      <c r="C6" s="17">
        <v>7</v>
      </c>
      <c r="D6" s="11">
        <v>16</v>
      </c>
      <c r="E6" s="11">
        <v>6</v>
      </c>
      <c r="F6" s="11">
        <v>14</v>
      </c>
      <c r="G6" s="11">
        <v>14</v>
      </c>
      <c r="H6" s="11">
        <v>7</v>
      </c>
      <c r="I6" s="11">
        <v>25</v>
      </c>
      <c r="J6" s="18">
        <v>24</v>
      </c>
      <c r="M6" s="25">
        <v>18</v>
      </c>
      <c r="N6" s="26">
        <v>4</v>
      </c>
      <c r="O6" s="26">
        <v>26</v>
      </c>
      <c r="P6" s="26">
        <v>13</v>
      </c>
      <c r="Q6" s="26">
        <v>18</v>
      </c>
      <c r="R6" s="26">
        <v>14</v>
      </c>
      <c r="S6" s="26">
        <v>21</v>
      </c>
      <c r="T6" s="27">
        <v>10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0</v>
      </c>
      <c r="BA6" s="10">
        <v>5</v>
      </c>
      <c r="BB6" s="10">
        <f t="shared" si="0"/>
        <v>6</v>
      </c>
      <c r="BC6" t="str">
        <f t="shared" si="1"/>
        <v>F</v>
      </c>
      <c r="BD6" s="10">
        <v>5</v>
      </c>
    </row>
    <row r="7" spans="1:56">
      <c r="B7">
        <v>4</v>
      </c>
      <c r="C7" s="17">
        <v>24</v>
      </c>
      <c r="D7" s="11">
        <v>6</v>
      </c>
      <c r="E7" s="11">
        <v>5</v>
      </c>
      <c r="F7" s="11">
        <v>18</v>
      </c>
      <c r="G7" s="11">
        <v>1</v>
      </c>
      <c r="H7" s="11">
        <v>14</v>
      </c>
      <c r="I7" s="11">
        <v>19</v>
      </c>
      <c r="J7" s="18">
        <v>27</v>
      </c>
      <c r="M7" s="25">
        <v>8</v>
      </c>
      <c r="N7" s="26">
        <v>1</v>
      </c>
      <c r="O7" s="26">
        <v>23</v>
      </c>
      <c r="P7" s="26">
        <v>13</v>
      </c>
      <c r="Q7" s="26">
        <v>16</v>
      </c>
      <c r="R7" s="26">
        <v>1</v>
      </c>
      <c r="S7" s="26">
        <v>2</v>
      </c>
      <c r="T7" s="27">
        <v>6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0</v>
      </c>
      <c r="BA7" s="10">
        <v>6</v>
      </c>
      <c r="BB7" s="10">
        <f t="shared" si="0"/>
        <v>5</v>
      </c>
      <c r="BC7" t="str">
        <f t="shared" si="1"/>
        <v>G</v>
      </c>
      <c r="BD7" s="10">
        <v>6</v>
      </c>
    </row>
    <row r="8" spans="1:56">
      <c r="B8">
        <v>5</v>
      </c>
      <c r="C8" s="17">
        <v>22</v>
      </c>
      <c r="D8" s="11">
        <v>5</v>
      </c>
      <c r="E8" s="11">
        <v>6</v>
      </c>
      <c r="F8" s="11">
        <v>27</v>
      </c>
      <c r="G8" s="11">
        <v>0</v>
      </c>
      <c r="H8" s="11">
        <v>24</v>
      </c>
      <c r="I8" s="11">
        <v>27</v>
      </c>
      <c r="J8" s="18">
        <v>4</v>
      </c>
      <c r="M8" s="25">
        <v>5</v>
      </c>
      <c r="N8" s="26">
        <v>16</v>
      </c>
      <c r="O8" s="26">
        <v>5</v>
      </c>
      <c r="P8" s="26">
        <v>21</v>
      </c>
      <c r="Q8" s="26">
        <v>1</v>
      </c>
      <c r="R8" s="26">
        <v>24</v>
      </c>
      <c r="S8" s="26">
        <v>12</v>
      </c>
      <c r="T8" s="27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BA8" s="10">
        <v>7</v>
      </c>
      <c r="BB8" s="10">
        <f t="shared" si="0"/>
        <v>25</v>
      </c>
      <c r="BC8" t="str">
        <f t="shared" si="1"/>
        <v>H</v>
      </c>
      <c r="BD8" s="10">
        <v>7</v>
      </c>
    </row>
    <row r="9" spans="1:56">
      <c r="B9">
        <v>6</v>
      </c>
      <c r="C9" s="17">
        <v>22</v>
      </c>
      <c r="D9" s="11">
        <v>20</v>
      </c>
      <c r="E9" s="11">
        <v>15</v>
      </c>
      <c r="F9" s="11">
        <v>5</v>
      </c>
      <c r="G9" s="11">
        <v>3</v>
      </c>
      <c r="H9" s="11">
        <v>27</v>
      </c>
      <c r="I9" s="11">
        <v>2</v>
      </c>
      <c r="J9" s="18">
        <v>5</v>
      </c>
      <c r="M9" s="25">
        <v>8</v>
      </c>
      <c r="N9" s="26">
        <v>3</v>
      </c>
      <c r="O9" s="26">
        <v>10</v>
      </c>
      <c r="P9" s="26">
        <v>6</v>
      </c>
      <c r="Q9" s="26">
        <v>22</v>
      </c>
      <c r="R9" s="26">
        <v>1</v>
      </c>
      <c r="S9" s="26">
        <v>17</v>
      </c>
      <c r="T9" s="27">
        <v>18</v>
      </c>
      <c r="BA9" s="10">
        <v>8</v>
      </c>
      <c r="BB9" s="10">
        <f t="shared" si="0"/>
        <v>11</v>
      </c>
      <c r="BC9" t="str">
        <f t="shared" si="1"/>
        <v>I</v>
      </c>
      <c r="BD9" s="10">
        <v>8</v>
      </c>
    </row>
    <row r="10" spans="1:56">
      <c r="B10">
        <v>7</v>
      </c>
      <c r="C10" s="17">
        <v>13</v>
      </c>
      <c r="D10" s="11">
        <v>22</v>
      </c>
      <c r="E10" s="11">
        <v>19</v>
      </c>
      <c r="F10" s="11">
        <v>9</v>
      </c>
      <c r="G10" s="11">
        <v>3</v>
      </c>
      <c r="H10" s="11">
        <v>7</v>
      </c>
      <c r="I10" s="11">
        <v>18</v>
      </c>
      <c r="J10" s="18">
        <v>26</v>
      </c>
      <c r="M10" s="25">
        <v>5</v>
      </c>
      <c r="N10" s="26">
        <v>20</v>
      </c>
      <c r="O10" s="26">
        <v>20</v>
      </c>
      <c r="P10" s="26">
        <v>9</v>
      </c>
      <c r="Q10" s="26">
        <v>12</v>
      </c>
      <c r="R10" s="26">
        <v>9</v>
      </c>
      <c r="S10" s="26">
        <v>18</v>
      </c>
      <c r="T10" s="27">
        <v>3</v>
      </c>
      <c r="BA10" s="10">
        <v>9</v>
      </c>
      <c r="BB10" s="10">
        <f t="shared" si="0"/>
        <v>13</v>
      </c>
      <c r="BC10" t="str">
        <f t="shared" si="1"/>
        <v>J</v>
      </c>
      <c r="BD10" s="10">
        <v>9</v>
      </c>
    </row>
    <row r="11" spans="1:56" ht="29.25" thickBot="1">
      <c r="B11">
        <v>8</v>
      </c>
      <c r="C11" s="19">
        <v>18</v>
      </c>
      <c r="D11" s="20">
        <v>7</v>
      </c>
      <c r="E11" s="20">
        <v>16</v>
      </c>
      <c r="F11" s="20">
        <v>0</v>
      </c>
      <c r="G11" s="20">
        <v>13</v>
      </c>
      <c r="H11" s="20">
        <v>11</v>
      </c>
      <c r="I11" s="20">
        <v>1</v>
      </c>
      <c r="J11" s="21">
        <v>6</v>
      </c>
      <c r="M11" s="28">
        <v>28</v>
      </c>
      <c r="N11" s="29">
        <v>19</v>
      </c>
      <c r="O11" s="29">
        <v>23</v>
      </c>
      <c r="P11" s="29">
        <v>14</v>
      </c>
      <c r="Q11" s="29">
        <v>10</v>
      </c>
      <c r="R11" s="29">
        <v>25</v>
      </c>
      <c r="S11" s="29">
        <v>1</v>
      </c>
      <c r="T11" s="30">
        <v>22</v>
      </c>
      <c r="AG11" s="35" t="s">
        <v>10</v>
      </c>
      <c r="BA11" s="10">
        <v>10</v>
      </c>
      <c r="BB11" s="10">
        <f t="shared" si="0"/>
        <v>3</v>
      </c>
      <c r="BC11" t="str">
        <f t="shared" si="1"/>
        <v>K</v>
      </c>
      <c r="BD11" s="10">
        <v>10</v>
      </c>
    </row>
    <row r="12" spans="1:56">
      <c r="BA12" s="10">
        <v>11</v>
      </c>
      <c r="BB12" s="10">
        <f t="shared" si="0"/>
        <v>8</v>
      </c>
      <c r="BC12" t="str">
        <f t="shared" si="1"/>
        <v>L</v>
      </c>
      <c r="BD12" s="10">
        <v>11</v>
      </c>
    </row>
    <row r="13" spans="1:56" ht="15.75" thickBot="1">
      <c r="BA13" s="10">
        <v>12</v>
      </c>
      <c r="BB13" s="10">
        <f t="shared" si="0"/>
        <v>17</v>
      </c>
      <c r="BC13" t="str">
        <f t="shared" si="1"/>
        <v>M</v>
      </c>
      <c r="BD13" s="10">
        <v>12</v>
      </c>
    </row>
    <row r="14" spans="1:56" ht="18.75">
      <c r="C14" s="14" t="str">
        <f>VLOOKUP(C4,$BA$1:$BC$29,3)</f>
        <v>W</v>
      </c>
      <c r="D14" s="15" t="str">
        <f t="shared" ref="D14:J14" si="2">VLOOKUP(D4,$BA$1:$BC$29,3)</f>
        <v>C</v>
      </c>
      <c r="E14" s="15" t="str">
        <f t="shared" si="2"/>
        <v>.</v>
      </c>
      <c r="F14" s="15" t="str">
        <f t="shared" si="2"/>
        <v>A</v>
      </c>
      <c r="G14" s="15" t="str">
        <f t="shared" si="2"/>
        <v>G</v>
      </c>
      <c r="H14" s="15" t="str">
        <f t="shared" si="2"/>
        <v>L</v>
      </c>
      <c r="I14" s="15" t="str">
        <f t="shared" si="2"/>
        <v>A</v>
      </c>
      <c r="J14" s="16" t="str">
        <f t="shared" si="2"/>
        <v>R</v>
      </c>
      <c r="M14" s="22" t="str">
        <f t="shared" ref="M14:T14" si="3">VLOOKUP(M4,$BA$1:$BC$29,3)</f>
        <v>N</v>
      </c>
      <c r="N14" s="23" t="str">
        <f t="shared" si="3"/>
        <v>Q</v>
      </c>
      <c r="O14" s="23" t="str">
        <f t="shared" si="3"/>
        <v>P</v>
      </c>
      <c r="P14" s="23" t="str">
        <f t="shared" si="3"/>
        <v>J</v>
      </c>
      <c r="Q14" s="23" t="str">
        <f t="shared" si="3"/>
        <v>D</v>
      </c>
      <c r="R14" s="23" t="str">
        <f t="shared" si="3"/>
        <v>V</v>
      </c>
      <c r="S14" s="23" t="str">
        <f t="shared" si="3"/>
        <v>A</v>
      </c>
      <c r="T14" s="24" t="str">
        <f t="shared" si="3"/>
        <v>C</v>
      </c>
      <c r="W14" s="14">
        <f>C4</f>
        <v>22</v>
      </c>
      <c r="X14" s="15">
        <f t="shared" ref="X14:AD14" si="4">D4</f>
        <v>2</v>
      </c>
      <c r="Y14" s="15">
        <f t="shared" si="4"/>
        <v>27</v>
      </c>
      <c r="Z14" s="15">
        <f t="shared" si="4"/>
        <v>0</v>
      </c>
      <c r="AA14" s="15">
        <f t="shared" si="4"/>
        <v>6</v>
      </c>
      <c r="AB14" s="15">
        <f t="shared" si="4"/>
        <v>11</v>
      </c>
      <c r="AC14" s="15">
        <f t="shared" si="4"/>
        <v>0</v>
      </c>
      <c r="AD14" s="16">
        <f t="shared" si="4"/>
        <v>17</v>
      </c>
      <c r="AE14" s="10"/>
      <c r="AF14" s="32">
        <f>VLOOKUP(AG14,$BC$1:$BD$29,2,FALSE)</f>
        <v>3</v>
      </c>
      <c r="AG14" s="43" t="s">
        <v>19</v>
      </c>
      <c r="AI14" s="41">
        <f t="array" ref="AI14:AI21">MOD(MMULT(W14:AD21,AF14:AF21),29)</f>
        <v>12</v>
      </c>
      <c r="AJ14" s="45" t="str">
        <f>VLOOKUP(AI14,$BA$1:$BC$29,3)</f>
        <v>M</v>
      </c>
      <c r="AL14" s="22">
        <f>M4</f>
        <v>13</v>
      </c>
      <c r="AM14" s="23">
        <f t="shared" ref="AM14:AS14" si="5">N4</f>
        <v>16</v>
      </c>
      <c r="AN14" s="23">
        <f t="shared" si="5"/>
        <v>15</v>
      </c>
      <c r="AO14" s="23">
        <f t="shared" si="5"/>
        <v>9</v>
      </c>
      <c r="AP14" s="23">
        <f t="shared" si="5"/>
        <v>3</v>
      </c>
      <c r="AQ14" s="23">
        <f t="shared" si="5"/>
        <v>21</v>
      </c>
      <c r="AR14" s="23">
        <f t="shared" si="5"/>
        <v>0</v>
      </c>
      <c r="AS14" s="24">
        <f t="shared" si="5"/>
        <v>2</v>
      </c>
      <c r="AU14" s="41">
        <f>AI14</f>
        <v>12</v>
      </c>
      <c r="AV14" s="45" t="str">
        <f t="shared" ref="AV14:AV21" si="6">AJ14</f>
        <v>M</v>
      </c>
      <c r="AX14" s="42">
        <f t="array" ref="AX14:AX21">MOD(MMULT(AL14:AS21,AU14:AU21),29)</f>
        <v>3</v>
      </c>
      <c r="AY14" s="46" t="str">
        <f>VLOOKUP(AX14,$BA$1:$BC$29,3)</f>
        <v>D</v>
      </c>
      <c r="BA14" s="10">
        <v>13</v>
      </c>
      <c r="BB14" s="10">
        <f t="shared" si="0"/>
        <v>9</v>
      </c>
      <c r="BC14" t="str">
        <f t="shared" si="1"/>
        <v>N</v>
      </c>
      <c r="BD14" s="10">
        <v>13</v>
      </c>
    </row>
    <row r="15" spans="1:56" ht="18.75">
      <c r="C15" s="17" t="str">
        <f t="shared" ref="C15:J15" si="7">VLOOKUP(C5,$BA$1:$BC$29,3)</f>
        <v>D</v>
      </c>
      <c r="D15" s="11" t="str">
        <f t="shared" si="7"/>
        <v>T</v>
      </c>
      <c r="E15" s="11" t="str">
        <f t="shared" si="7"/>
        <v>D</v>
      </c>
      <c r="F15" s="11" t="str">
        <f t="shared" si="7"/>
        <v>F</v>
      </c>
      <c r="G15" s="11" t="str">
        <f t="shared" si="7"/>
        <v>X</v>
      </c>
      <c r="H15" s="11" t="str">
        <f t="shared" si="7"/>
        <v>G</v>
      </c>
      <c r="I15" s="11" t="str">
        <f t="shared" si="7"/>
        <v>H</v>
      </c>
      <c r="J15" s="18" t="str">
        <f t="shared" si="7"/>
        <v>W</v>
      </c>
      <c r="M15" s="25" t="str">
        <f t="shared" ref="M15:T15" si="8">VLOOKUP(M5,$BA$1:$BC$29,3)</f>
        <v>,</v>
      </c>
      <c r="N15" s="26" t="str">
        <f t="shared" si="8"/>
        <v>I</v>
      </c>
      <c r="O15" s="26" t="str">
        <f t="shared" si="8"/>
        <v>Q</v>
      </c>
      <c r="P15" s="26" t="str">
        <f t="shared" si="8"/>
        <v>S</v>
      </c>
      <c r="Q15" s="26" t="str">
        <f t="shared" si="8"/>
        <v>I</v>
      </c>
      <c r="R15" s="26" t="str">
        <f t="shared" si="8"/>
        <v>P</v>
      </c>
      <c r="S15" s="26" t="str">
        <f t="shared" si="8"/>
        <v>,</v>
      </c>
      <c r="T15" s="27" t="str">
        <f t="shared" si="8"/>
        <v>S</v>
      </c>
      <c r="W15" s="17">
        <f t="shared" ref="W15:AD15" si="9">C5</f>
        <v>3</v>
      </c>
      <c r="X15" s="11">
        <f t="shared" si="9"/>
        <v>19</v>
      </c>
      <c r="Y15" s="11">
        <f t="shared" si="9"/>
        <v>3</v>
      </c>
      <c r="Z15" s="11">
        <f t="shared" si="9"/>
        <v>5</v>
      </c>
      <c r="AA15" s="11">
        <f t="shared" si="9"/>
        <v>23</v>
      </c>
      <c r="AB15" s="11">
        <f t="shared" si="9"/>
        <v>6</v>
      </c>
      <c r="AC15" s="11">
        <f t="shared" si="9"/>
        <v>7</v>
      </c>
      <c r="AD15" s="18">
        <f t="shared" si="9"/>
        <v>22</v>
      </c>
      <c r="AE15" s="10"/>
      <c r="AF15" s="32">
        <f t="shared" ref="AF15:AF21" si="10">VLOOKUP(AG15,$BC$1:$BD$29,2,FALSE)</f>
        <v>14</v>
      </c>
      <c r="AG15" s="43" t="s">
        <v>18</v>
      </c>
      <c r="AI15" s="41">
        <v>0</v>
      </c>
      <c r="AJ15" s="45" t="str">
        <f t="shared" ref="AJ15:AJ21" si="11">VLOOKUP(AI15,$BA$1:$BC$29,3)</f>
        <v>A</v>
      </c>
      <c r="AL15" s="25">
        <f t="shared" ref="AL15:AS15" si="12">M5</f>
        <v>28</v>
      </c>
      <c r="AM15" s="26">
        <f t="shared" si="12"/>
        <v>8</v>
      </c>
      <c r="AN15" s="26">
        <f t="shared" si="12"/>
        <v>16</v>
      </c>
      <c r="AO15" s="26">
        <f t="shared" si="12"/>
        <v>18</v>
      </c>
      <c r="AP15" s="26">
        <f t="shared" si="12"/>
        <v>8</v>
      </c>
      <c r="AQ15" s="26">
        <f t="shared" si="12"/>
        <v>15</v>
      </c>
      <c r="AR15" s="26">
        <f t="shared" si="12"/>
        <v>28</v>
      </c>
      <c r="AS15" s="27">
        <f t="shared" si="12"/>
        <v>18</v>
      </c>
      <c r="AU15" s="41">
        <f t="shared" ref="AU15:AU21" si="13">AI15</f>
        <v>0</v>
      </c>
      <c r="AV15" s="45" t="str">
        <f t="shared" si="6"/>
        <v>A</v>
      </c>
      <c r="AX15" s="42">
        <v>14</v>
      </c>
      <c r="AY15" s="46" t="str">
        <f t="shared" ref="AY15:AY21" si="14">VLOOKUP(AX15,$BA$1:$BC$29,3)</f>
        <v>O</v>
      </c>
      <c r="BA15" s="10">
        <v>14</v>
      </c>
      <c r="BB15" s="10">
        <f t="shared" si="0"/>
        <v>27</v>
      </c>
      <c r="BC15" t="str">
        <f t="shared" si="1"/>
        <v>O</v>
      </c>
      <c r="BD15" s="10">
        <v>14</v>
      </c>
    </row>
    <row r="16" spans="1:56" ht="18.75">
      <c r="C16" s="17" t="str">
        <f t="shared" ref="C16:J16" si="15">VLOOKUP(C6,$BA$1:$BC$29,3)</f>
        <v>H</v>
      </c>
      <c r="D16" s="11" t="str">
        <f t="shared" si="15"/>
        <v>Q</v>
      </c>
      <c r="E16" s="11" t="str">
        <f t="shared" si="15"/>
        <v>G</v>
      </c>
      <c r="F16" s="11" t="str">
        <f t="shared" si="15"/>
        <v>O</v>
      </c>
      <c r="G16" s="11" t="str">
        <f t="shared" si="15"/>
        <v>O</v>
      </c>
      <c r="H16" s="11" t="str">
        <f t="shared" si="15"/>
        <v>H</v>
      </c>
      <c r="I16" s="11" t="str">
        <f t="shared" si="15"/>
        <v>Z</v>
      </c>
      <c r="J16" s="18" t="str">
        <f t="shared" si="15"/>
        <v>Y</v>
      </c>
      <c r="M16" s="25" t="str">
        <f t="shared" ref="M16:T16" si="16">VLOOKUP(M6,$BA$1:$BC$29,3)</f>
        <v>S</v>
      </c>
      <c r="N16" s="26" t="str">
        <f t="shared" si="16"/>
        <v>E</v>
      </c>
      <c r="O16" s="26" t="str">
        <f t="shared" si="16"/>
        <v xml:space="preserve"> </v>
      </c>
      <c r="P16" s="26" t="str">
        <f t="shared" si="16"/>
        <v>N</v>
      </c>
      <c r="Q16" s="26" t="str">
        <f t="shared" si="16"/>
        <v>S</v>
      </c>
      <c r="R16" s="26" t="str">
        <f t="shared" si="16"/>
        <v>O</v>
      </c>
      <c r="S16" s="26" t="str">
        <f t="shared" si="16"/>
        <v>V</v>
      </c>
      <c r="T16" s="27" t="str">
        <f t="shared" si="16"/>
        <v>K</v>
      </c>
      <c r="W16" s="17">
        <f t="shared" ref="W16:AD16" si="17">C6</f>
        <v>7</v>
      </c>
      <c r="X16" s="11">
        <f t="shared" si="17"/>
        <v>16</v>
      </c>
      <c r="Y16" s="11">
        <f t="shared" si="17"/>
        <v>6</v>
      </c>
      <c r="Z16" s="11">
        <f t="shared" si="17"/>
        <v>14</v>
      </c>
      <c r="AA16" s="11">
        <f t="shared" si="17"/>
        <v>14</v>
      </c>
      <c r="AB16" s="11">
        <f t="shared" si="17"/>
        <v>7</v>
      </c>
      <c r="AC16" s="11">
        <f t="shared" si="17"/>
        <v>25</v>
      </c>
      <c r="AD16" s="18">
        <f t="shared" si="17"/>
        <v>24</v>
      </c>
      <c r="AE16" s="10"/>
      <c r="AF16" s="32">
        <f t="shared" si="10"/>
        <v>26</v>
      </c>
      <c r="AG16" s="43" t="s">
        <v>3</v>
      </c>
      <c r="AI16" s="41">
        <v>14</v>
      </c>
      <c r="AJ16" s="45" t="str">
        <f t="shared" si="11"/>
        <v>O</v>
      </c>
      <c r="AL16" s="25">
        <f t="shared" ref="AL16:AS16" si="18">M6</f>
        <v>18</v>
      </c>
      <c r="AM16" s="26">
        <f t="shared" si="18"/>
        <v>4</v>
      </c>
      <c r="AN16" s="26">
        <f t="shared" si="18"/>
        <v>26</v>
      </c>
      <c r="AO16" s="26">
        <f t="shared" si="18"/>
        <v>13</v>
      </c>
      <c r="AP16" s="26">
        <f t="shared" si="18"/>
        <v>18</v>
      </c>
      <c r="AQ16" s="26">
        <f t="shared" si="18"/>
        <v>14</v>
      </c>
      <c r="AR16" s="26">
        <f t="shared" si="18"/>
        <v>21</v>
      </c>
      <c r="AS16" s="27">
        <f t="shared" si="18"/>
        <v>10</v>
      </c>
      <c r="AU16" s="41">
        <f t="shared" si="13"/>
        <v>14</v>
      </c>
      <c r="AV16" s="45" t="str">
        <f t="shared" si="6"/>
        <v>O</v>
      </c>
      <c r="AX16" s="42">
        <v>26</v>
      </c>
      <c r="AY16" s="46" t="str">
        <f t="shared" si="14"/>
        <v xml:space="preserve"> </v>
      </c>
      <c r="BA16" s="10">
        <v>15</v>
      </c>
      <c r="BB16" s="10">
        <f t="shared" si="0"/>
        <v>2</v>
      </c>
      <c r="BC16" t="str">
        <f t="shared" si="1"/>
        <v>P</v>
      </c>
      <c r="BD16" s="10">
        <v>15</v>
      </c>
    </row>
    <row r="17" spans="1:56" ht="18.75">
      <c r="C17" s="17" t="str">
        <f t="shared" ref="C17:J17" si="19">VLOOKUP(C7,$BA$1:$BC$29,3)</f>
        <v>Y</v>
      </c>
      <c r="D17" s="11" t="str">
        <f t="shared" si="19"/>
        <v>G</v>
      </c>
      <c r="E17" s="11" t="str">
        <f t="shared" si="19"/>
        <v>F</v>
      </c>
      <c r="F17" s="11" t="str">
        <f t="shared" si="19"/>
        <v>S</v>
      </c>
      <c r="G17" s="11" t="str">
        <f t="shared" si="19"/>
        <v>B</v>
      </c>
      <c r="H17" s="11" t="str">
        <f t="shared" si="19"/>
        <v>O</v>
      </c>
      <c r="I17" s="11" t="str">
        <f t="shared" si="19"/>
        <v>T</v>
      </c>
      <c r="J17" s="18" t="str">
        <f t="shared" si="19"/>
        <v>.</v>
      </c>
      <c r="M17" s="25" t="str">
        <f t="shared" ref="M17:T17" si="20">VLOOKUP(M7,$BA$1:$BC$29,3)</f>
        <v>I</v>
      </c>
      <c r="N17" s="26" t="str">
        <f t="shared" si="20"/>
        <v>B</v>
      </c>
      <c r="O17" s="26" t="str">
        <f t="shared" si="20"/>
        <v>X</v>
      </c>
      <c r="P17" s="26" t="str">
        <f t="shared" si="20"/>
        <v>N</v>
      </c>
      <c r="Q17" s="26" t="str">
        <f t="shared" si="20"/>
        <v>Q</v>
      </c>
      <c r="R17" s="26" t="str">
        <f t="shared" si="20"/>
        <v>B</v>
      </c>
      <c r="S17" s="26" t="str">
        <f t="shared" si="20"/>
        <v>C</v>
      </c>
      <c r="T17" s="27" t="str">
        <f t="shared" si="20"/>
        <v>G</v>
      </c>
      <c r="W17" s="17">
        <f t="shared" ref="W17:AD17" si="21">C7</f>
        <v>24</v>
      </c>
      <c r="X17" s="11">
        <f t="shared" si="21"/>
        <v>6</v>
      </c>
      <c r="Y17" s="11">
        <f t="shared" si="21"/>
        <v>5</v>
      </c>
      <c r="Z17" s="11">
        <f t="shared" si="21"/>
        <v>18</v>
      </c>
      <c r="AA17" s="11">
        <f t="shared" si="21"/>
        <v>1</v>
      </c>
      <c r="AB17" s="11">
        <f t="shared" si="21"/>
        <v>14</v>
      </c>
      <c r="AC17" s="11">
        <f t="shared" si="21"/>
        <v>19</v>
      </c>
      <c r="AD17" s="18">
        <f t="shared" si="21"/>
        <v>27</v>
      </c>
      <c r="AE17" s="40" t="s">
        <v>6</v>
      </c>
      <c r="AF17" s="32">
        <f t="shared" si="10"/>
        <v>10</v>
      </c>
      <c r="AG17" s="44" t="s">
        <v>8</v>
      </c>
      <c r="AH17" s="47" t="s">
        <v>7</v>
      </c>
      <c r="AI17" s="41">
        <v>16</v>
      </c>
      <c r="AJ17" s="45" t="str">
        <f t="shared" si="11"/>
        <v>Q</v>
      </c>
      <c r="AL17" s="25">
        <f t="shared" ref="AL17:AS17" si="22">M7</f>
        <v>8</v>
      </c>
      <c r="AM17" s="26">
        <f t="shared" si="22"/>
        <v>1</v>
      </c>
      <c r="AN17" s="26">
        <f t="shared" si="22"/>
        <v>23</v>
      </c>
      <c r="AO17" s="26">
        <f t="shared" si="22"/>
        <v>13</v>
      </c>
      <c r="AP17" s="26">
        <f t="shared" si="22"/>
        <v>16</v>
      </c>
      <c r="AQ17" s="26">
        <f t="shared" si="22"/>
        <v>1</v>
      </c>
      <c r="AR17" s="26">
        <f t="shared" si="22"/>
        <v>2</v>
      </c>
      <c r="AS17" s="27">
        <f t="shared" si="22"/>
        <v>6</v>
      </c>
      <c r="AT17" s="40" t="s">
        <v>6</v>
      </c>
      <c r="AU17" s="41">
        <f t="shared" si="13"/>
        <v>16</v>
      </c>
      <c r="AV17" s="45" t="str">
        <f t="shared" si="6"/>
        <v>Q</v>
      </c>
      <c r="AW17" s="47" t="s">
        <v>7</v>
      </c>
      <c r="AX17" s="42">
        <v>10</v>
      </c>
      <c r="AY17" s="46" t="str">
        <f t="shared" si="14"/>
        <v>K</v>
      </c>
      <c r="BA17" s="10">
        <v>16</v>
      </c>
      <c r="BB17" s="10">
        <f t="shared" si="0"/>
        <v>20</v>
      </c>
      <c r="BC17" t="str">
        <f t="shared" si="1"/>
        <v>Q</v>
      </c>
      <c r="BD17" s="10">
        <v>16</v>
      </c>
    </row>
    <row r="18" spans="1:56" ht="18.75">
      <c r="C18" s="17" t="str">
        <f t="shared" ref="C18:J18" si="23">VLOOKUP(C8,$BA$1:$BC$29,3)</f>
        <v>W</v>
      </c>
      <c r="D18" s="11" t="str">
        <f t="shared" si="23"/>
        <v>F</v>
      </c>
      <c r="E18" s="11" t="str">
        <f t="shared" si="23"/>
        <v>G</v>
      </c>
      <c r="F18" s="11" t="str">
        <f t="shared" si="23"/>
        <v>.</v>
      </c>
      <c r="G18" s="11" t="str">
        <f t="shared" si="23"/>
        <v>A</v>
      </c>
      <c r="H18" s="11" t="str">
        <f t="shared" si="23"/>
        <v>Y</v>
      </c>
      <c r="I18" s="11" t="str">
        <f t="shared" si="23"/>
        <v>.</v>
      </c>
      <c r="J18" s="18" t="str">
        <f t="shared" si="23"/>
        <v>E</v>
      </c>
      <c r="M18" s="25" t="str">
        <f t="shared" ref="M18:T18" si="24">VLOOKUP(M8,$BA$1:$BC$29,3)</f>
        <v>F</v>
      </c>
      <c r="N18" s="26" t="str">
        <f t="shared" si="24"/>
        <v>Q</v>
      </c>
      <c r="O18" s="26" t="str">
        <f t="shared" si="24"/>
        <v>F</v>
      </c>
      <c r="P18" s="26" t="str">
        <f t="shared" si="24"/>
        <v>V</v>
      </c>
      <c r="Q18" s="26" t="str">
        <f t="shared" si="24"/>
        <v>B</v>
      </c>
      <c r="R18" s="26" t="str">
        <f t="shared" si="24"/>
        <v>Y</v>
      </c>
      <c r="S18" s="26" t="str">
        <f t="shared" si="24"/>
        <v>M</v>
      </c>
      <c r="T18" s="27" t="str">
        <f t="shared" si="24"/>
        <v>B</v>
      </c>
      <c r="W18" s="17">
        <f t="shared" ref="W18:AD18" si="25">C8</f>
        <v>22</v>
      </c>
      <c r="X18" s="11">
        <f t="shared" si="25"/>
        <v>5</v>
      </c>
      <c r="Y18" s="11">
        <f t="shared" si="25"/>
        <v>6</v>
      </c>
      <c r="Z18" s="11">
        <f t="shared" si="25"/>
        <v>27</v>
      </c>
      <c r="AA18" s="11">
        <f t="shared" si="25"/>
        <v>0</v>
      </c>
      <c r="AB18" s="11">
        <f t="shared" si="25"/>
        <v>24</v>
      </c>
      <c r="AC18" s="11">
        <f t="shared" si="25"/>
        <v>27</v>
      </c>
      <c r="AD18" s="18">
        <f t="shared" si="25"/>
        <v>4</v>
      </c>
      <c r="AE18" s="10"/>
      <c r="AF18" s="32">
        <f t="shared" si="10"/>
        <v>24</v>
      </c>
      <c r="AG18" s="44" t="s">
        <v>22</v>
      </c>
      <c r="AI18" s="41">
        <v>5</v>
      </c>
      <c r="AJ18" s="45" t="str">
        <f t="shared" si="11"/>
        <v>F</v>
      </c>
      <c r="AL18" s="25">
        <f t="shared" ref="AL18:AS18" si="26">M8</f>
        <v>5</v>
      </c>
      <c r="AM18" s="26">
        <f t="shared" si="26"/>
        <v>16</v>
      </c>
      <c r="AN18" s="26">
        <f t="shared" si="26"/>
        <v>5</v>
      </c>
      <c r="AO18" s="26">
        <f t="shared" si="26"/>
        <v>21</v>
      </c>
      <c r="AP18" s="26">
        <f t="shared" si="26"/>
        <v>1</v>
      </c>
      <c r="AQ18" s="26">
        <f t="shared" si="26"/>
        <v>24</v>
      </c>
      <c r="AR18" s="26">
        <f t="shared" si="26"/>
        <v>12</v>
      </c>
      <c r="AS18" s="27">
        <f t="shared" si="26"/>
        <v>1</v>
      </c>
      <c r="AU18" s="41">
        <f t="shared" si="13"/>
        <v>5</v>
      </c>
      <c r="AV18" s="45" t="str">
        <f t="shared" si="6"/>
        <v>F</v>
      </c>
      <c r="AX18" s="42">
        <v>24</v>
      </c>
      <c r="AY18" s="46" t="str">
        <f t="shared" si="14"/>
        <v>Y</v>
      </c>
      <c r="BA18" s="10">
        <v>17</v>
      </c>
      <c r="BB18" s="10">
        <f t="shared" si="0"/>
        <v>12</v>
      </c>
      <c r="BC18" t="str">
        <f t="shared" si="1"/>
        <v>R</v>
      </c>
      <c r="BD18" s="10">
        <v>17</v>
      </c>
    </row>
    <row r="19" spans="1:56" ht="18.75">
      <c r="C19" s="17" t="str">
        <f t="shared" ref="C19:J19" si="27">VLOOKUP(C9,$BA$1:$BC$29,3)</f>
        <v>W</v>
      </c>
      <c r="D19" s="11" t="str">
        <f t="shared" si="27"/>
        <v>U</v>
      </c>
      <c r="E19" s="11" t="str">
        <f t="shared" si="27"/>
        <v>P</v>
      </c>
      <c r="F19" s="11" t="str">
        <f t="shared" si="27"/>
        <v>F</v>
      </c>
      <c r="G19" s="11" t="str">
        <f t="shared" si="27"/>
        <v>D</v>
      </c>
      <c r="H19" s="11" t="str">
        <f t="shared" si="27"/>
        <v>.</v>
      </c>
      <c r="I19" s="11" t="str">
        <f t="shared" si="27"/>
        <v>C</v>
      </c>
      <c r="J19" s="18" t="str">
        <f t="shared" si="27"/>
        <v>F</v>
      </c>
      <c r="M19" s="25" t="str">
        <f t="shared" ref="M19:T19" si="28">VLOOKUP(M9,$BA$1:$BC$29,3)</f>
        <v>I</v>
      </c>
      <c r="N19" s="26" t="str">
        <f t="shared" si="28"/>
        <v>D</v>
      </c>
      <c r="O19" s="26" t="str">
        <f t="shared" si="28"/>
        <v>K</v>
      </c>
      <c r="P19" s="26" t="str">
        <f t="shared" si="28"/>
        <v>G</v>
      </c>
      <c r="Q19" s="26" t="str">
        <f t="shared" si="28"/>
        <v>W</v>
      </c>
      <c r="R19" s="26" t="str">
        <f t="shared" si="28"/>
        <v>B</v>
      </c>
      <c r="S19" s="26" t="str">
        <f t="shared" si="28"/>
        <v>R</v>
      </c>
      <c r="T19" s="27" t="str">
        <f t="shared" si="28"/>
        <v>S</v>
      </c>
      <c r="W19" s="17">
        <f t="shared" ref="W19:AD19" si="29">C9</f>
        <v>22</v>
      </c>
      <c r="X19" s="11">
        <f t="shared" si="29"/>
        <v>20</v>
      </c>
      <c r="Y19" s="11">
        <f t="shared" si="29"/>
        <v>15</v>
      </c>
      <c r="Z19" s="11">
        <f t="shared" si="29"/>
        <v>5</v>
      </c>
      <c r="AA19" s="11">
        <f t="shared" si="29"/>
        <v>3</v>
      </c>
      <c r="AB19" s="11">
        <f t="shared" si="29"/>
        <v>27</v>
      </c>
      <c r="AC19" s="11">
        <f t="shared" si="29"/>
        <v>2</v>
      </c>
      <c r="AD19" s="18">
        <f t="shared" si="29"/>
        <v>5</v>
      </c>
      <c r="AE19" s="10"/>
      <c r="AF19" s="32">
        <f t="shared" si="10"/>
        <v>18</v>
      </c>
      <c r="AG19" s="44" t="s">
        <v>13</v>
      </c>
      <c r="AI19" s="41">
        <v>2</v>
      </c>
      <c r="AJ19" s="45" t="str">
        <f t="shared" si="11"/>
        <v>C</v>
      </c>
      <c r="AL19" s="25">
        <f t="shared" ref="AL19:AS19" si="30">M9</f>
        <v>8</v>
      </c>
      <c r="AM19" s="26">
        <f t="shared" si="30"/>
        <v>3</v>
      </c>
      <c r="AN19" s="26">
        <f t="shared" si="30"/>
        <v>10</v>
      </c>
      <c r="AO19" s="26">
        <f t="shared" si="30"/>
        <v>6</v>
      </c>
      <c r="AP19" s="26">
        <f t="shared" si="30"/>
        <v>22</v>
      </c>
      <c r="AQ19" s="26">
        <f t="shared" si="30"/>
        <v>1</v>
      </c>
      <c r="AR19" s="26">
        <f t="shared" si="30"/>
        <v>17</v>
      </c>
      <c r="AS19" s="27">
        <f t="shared" si="30"/>
        <v>18</v>
      </c>
      <c r="AU19" s="41">
        <f t="shared" si="13"/>
        <v>2</v>
      </c>
      <c r="AV19" s="45" t="str">
        <f t="shared" si="6"/>
        <v>C</v>
      </c>
      <c r="AX19" s="42">
        <v>18</v>
      </c>
      <c r="AY19" s="46" t="str">
        <f t="shared" si="14"/>
        <v>S</v>
      </c>
      <c r="BA19" s="10">
        <v>18</v>
      </c>
      <c r="BB19" s="10">
        <f t="shared" si="0"/>
        <v>21</v>
      </c>
      <c r="BC19" t="str">
        <f t="shared" si="1"/>
        <v>S</v>
      </c>
      <c r="BD19" s="10">
        <v>18</v>
      </c>
    </row>
    <row r="20" spans="1:56" ht="18.75">
      <c r="C20" s="17" t="str">
        <f t="shared" ref="C20:J20" si="31">VLOOKUP(C10,$BA$1:$BC$29,3)</f>
        <v>N</v>
      </c>
      <c r="D20" s="11" t="str">
        <f t="shared" si="31"/>
        <v>W</v>
      </c>
      <c r="E20" s="11" t="str">
        <f t="shared" si="31"/>
        <v>T</v>
      </c>
      <c r="F20" s="11" t="str">
        <f t="shared" si="31"/>
        <v>J</v>
      </c>
      <c r="G20" s="11" t="str">
        <f t="shared" si="31"/>
        <v>D</v>
      </c>
      <c r="H20" s="11" t="str">
        <f t="shared" si="31"/>
        <v>H</v>
      </c>
      <c r="I20" s="11" t="str">
        <f t="shared" si="31"/>
        <v>S</v>
      </c>
      <c r="J20" s="18" t="str">
        <f t="shared" si="31"/>
        <v xml:space="preserve"> </v>
      </c>
      <c r="M20" s="25" t="str">
        <f t="shared" ref="M20:T20" si="32">VLOOKUP(M10,$BA$1:$BC$29,3)</f>
        <v>F</v>
      </c>
      <c r="N20" s="26" t="str">
        <f t="shared" si="32"/>
        <v>U</v>
      </c>
      <c r="O20" s="26" t="str">
        <f t="shared" si="32"/>
        <v>U</v>
      </c>
      <c r="P20" s="26" t="str">
        <f t="shared" si="32"/>
        <v>J</v>
      </c>
      <c r="Q20" s="26" t="str">
        <f t="shared" si="32"/>
        <v>M</v>
      </c>
      <c r="R20" s="26" t="str">
        <f t="shared" si="32"/>
        <v>J</v>
      </c>
      <c r="S20" s="26" t="str">
        <f t="shared" si="32"/>
        <v>S</v>
      </c>
      <c r="T20" s="27" t="str">
        <f t="shared" si="32"/>
        <v>D</v>
      </c>
      <c r="W20" s="17">
        <f t="shared" ref="W20:AD20" si="33">C10</f>
        <v>13</v>
      </c>
      <c r="X20" s="11">
        <f t="shared" si="33"/>
        <v>22</v>
      </c>
      <c r="Y20" s="11">
        <f t="shared" si="33"/>
        <v>19</v>
      </c>
      <c r="Z20" s="11">
        <f t="shared" si="33"/>
        <v>9</v>
      </c>
      <c r="AA20" s="11">
        <f t="shared" si="33"/>
        <v>3</v>
      </c>
      <c r="AB20" s="11">
        <f t="shared" si="33"/>
        <v>7</v>
      </c>
      <c r="AC20" s="11">
        <f t="shared" si="33"/>
        <v>18</v>
      </c>
      <c r="AD20" s="18">
        <f t="shared" si="33"/>
        <v>26</v>
      </c>
      <c r="AE20" s="10"/>
      <c r="AF20" s="32">
        <f t="shared" si="10"/>
        <v>20</v>
      </c>
      <c r="AG20" s="44" t="s">
        <v>24</v>
      </c>
      <c r="AI20" s="41">
        <v>4</v>
      </c>
      <c r="AJ20" s="45" t="str">
        <f t="shared" si="11"/>
        <v>E</v>
      </c>
      <c r="AL20" s="25">
        <f t="shared" ref="AL20:AS20" si="34">M10</f>
        <v>5</v>
      </c>
      <c r="AM20" s="26">
        <f t="shared" si="34"/>
        <v>20</v>
      </c>
      <c r="AN20" s="26">
        <f t="shared" si="34"/>
        <v>20</v>
      </c>
      <c r="AO20" s="26">
        <f t="shared" si="34"/>
        <v>9</v>
      </c>
      <c r="AP20" s="26">
        <f t="shared" si="34"/>
        <v>12</v>
      </c>
      <c r="AQ20" s="26">
        <f t="shared" si="34"/>
        <v>9</v>
      </c>
      <c r="AR20" s="26">
        <f t="shared" si="34"/>
        <v>18</v>
      </c>
      <c r="AS20" s="27">
        <f t="shared" si="34"/>
        <v>3</v>
      </c>
      <c r="AU20" s="41">
        <f t="shared" si="13"/>
        <v>4</v>
      </c>
      <c r="AV20" s="45" t="str">
        <f t="shared" si="6"/>
        <v>E</v>
      </c>
      <c r="AX20" s="42">
        <v>20</v>
      </c>
      <c r="AY20" s="46" t="str">
        <f t="shared" si="14"/>
        <v>U</v>
      </c>
      <c r="BA20" s="10">
        <v>19</v>
      </c>
      <c r="BB20" s="10">
        <f t="shared" si="0"/>
        <v>26</v>
      </c>
      <c r="BC20" t="str">
        <f t="shared" si="1"/>
        <v>T</v>
      </c>
      <c r="BD20" s="10">
        <v>19</v>
      </c>
    </row>
    <row r="21" spans="1:56" ht="19.5" thickBot="1">
      <c r="C21" s="19" t="str">
        <f t="shared" ref="C21:J21" si="35">VLOOKUP(C11,$BA$1:$BC$29,3)</f>
        <v>S</v>
      </c>
      <c r="D21" s="20" t="str">
        <f t="shared" si="35"/>
        <v>H</v>
      </c>
      <c r="E21" s="20" t="str">
        <f t="shared" si="35"/>
        <v>Q</v>
      </c>
      <c r="F21" s="20" t="str">
        <f t="shared" si="35"/>
        <v>A</v>
      </c>
      <c r="G21" s="20" t="str">
        <f t="shared" si="35"/>
        <v>N</v>
      </c>
      <c r="H21" s="20" t="str">
        <f t="shared" si="35"/>
        <v>L</v>
      </c>
      <c r="I21" s="20" t="str">
        <f t="shared" si="35"/>
        <v>B</v>
      </c>
      <c r="J21" s="21" t="str">
        <f t="shared" si="35"/>
        <v>G</v>
      </c>
      <c r="M21" s="28" t="str">
        <f t="shared" ref="M21:T21" si="36">VLOOKUP(M11,$BA$1:$BC$29,3)</f>
        <v>,</v>
      </c>
      <c r="N21" s="29" t="str">
        <f t="shared" si="36"/>
        <v>T</v>
      </c>
      <c r="O21" s="29" t="str">
        <f t="shared" si="36"/>
        <v>X</v>
      </c>
      <c r="P21" s="29" t="str">
        <f t="shared" si="36"/>
        <v>O</v>
      </c>
      <c r="Q21" s="29" t="str">
        <f t="shared" si="36"/>
        <v>K</v>
      </c>
      <c r="R21" s="29" t="str">
        <f t="shared" si="36"/>
        <v>Z</v>
      </c>
      <c r="S21" s="29" t="str">
        <f t="shared" si="36"/>
        <v>B</v>
      </c>
      <c r="T21" s="30" t="str">
        <f t="shared" si="36"/>
        <v>W</v>
      </c>
      <c r="W21" s="19">
        <f t="shared" ref="W21:AD21" si="37">C11</f>
        <v>18</v>
      </c>
      <c r="X21" s="20">
        <f t="shared" si="37"/>
        <v>7</v>
      </c>
      <c r="Y21" s="20">
        <f t="shared" si="37"/>
        <v>16</v>
      </c>
      <c r="Z21" s="20">
        <f t="shared" si="37"/>
        <v>0</v>
      </c>
      <c r="AA21" s="20">
        <f t="shared" si="37"/>
        <v>13</v>
      </c>
      <c r="AB21" s="20">
        <f t="shared" si="37"/>
        <v>11</v>
      </c>
      <c r="AC21" s="20">
        <f t="shared" si="37"/>
        <v>1</v>
      </c>
      <c r="AD21" s="21">
        <f t="shared" si="37"/>
        <v>6</v>
      </c>
      <c r="AE21" s="10"/>
      <c r="AF21" s="32">
        <f t="shared" si="10"/>
        <v>2</v>
      </c>
      <c r="AG21" s="44" t="s">
        <v>23</v>
      </c>
      <c r="AI21" s="41">
        <v>8</v>
      </c>
      <c r="AJ21" s="45" t="str">
        <f t="shared" si="11"/>
        <v>I</v>
      </c>
      <c r="AL21" s="28">
        <f t="shared" ref="AL21:AS21" si="38">M11</f>
        <v>28</v>
      </c>
      <c r="AM21" s="29">
        <f t="shared" si="38"/>
        <v>19</v>
      </c>
      <c r="AN21" s="29">
        <f t="shared" si="38"/>
        <v>23</v>
      </c>
      <c r="AO21" s="29">
        <f t="shared" si="38"/>
        <v>14</v>
      </c>
      <c r="AP21" s="29">
        <f t="shared" si="38"/>
        <v>10</v>
      </c>
      <c r="AQ21" s="29">
        <f t="shared" si="38"/>
        <v>25</v>
      </c>
      <c r="AR21" s="29">
        <f t="shared" si="38"/>
        <v>1</v>
      </c>
      <c r="AS21" s="30">
        <f t="shared" si="38"/>
        <v>22</v>
      </c>
      <c r="AU21" s="41">
        <f t="shared" si="13"/>
        <v>8</v>
      </c>
      <c r="AV21" s="45" t="str">
        <f t="shared" si="6"/>
        <v>I</v>
      </c>
      <c r="AX21" s="42">
        <v>2</v>
      </c>
      <c r="AY21" s="46" t="str">
        <f t="shared" si="14"/>
        <v>C</v>
      </c>
      <c r="BA21" s="10">
        <v>20</v>
      </c>
      <c r="BB21" s="10">
        <f t="shared" si="0"/>
        <v>16</v>
      </c>
      <c r="BC21" t="str">
        <f t="shared" si="1"/>
        <v>U</v>
      </c>
      <c r="BD21" s="10">
        <v>20</v>
      </c>
    </row>
    <row r="22" spans="1:56">
      <c r="X22" s="10"/>
      <c r="Y22" s="10"/>
      <c r="Z22" s="10"/>
      <c r="AA22" s="10"/>
      <c r="AB22" s="10"/>
      <c r="AC22" s="10"/>
      <c r="AD22" s="10"/>
      <c r="AE22" s="10"/>
      <c r="AF22" s="33"/>
      <c r="AG22" s="10"/>
      <c r="BA22" s="10">
        <v>21</v>
      </c>
      <c r="BB22" s="10">
        <f t="shared" si="0"/>
        <v>18</v>
      </c>
      <c r="BC22" t="str">
        <f t="shared" si="1"/>
        <v>V</v>
      </c>
      <c r="BD22" s="10">
        <v>21</v>
      </c>
    </row>
    <row r="23" spans="1:56" ht="36" customHeight="1">
      <c r="X23" s="10"/>
      <c r="Y23" s="10"/>
      <c r="Z23" s="36" t="s">
        <v>8</v>
      </c>
      <c r="AA23" s="36"/>
      <c r="AB23" s="36"/>
      <c r="AC23" s="36"/>
      <c r="AD23" s="36"/>
      <c r="AE23" s="36"/>
      <c r="AF23" s="37"/>
      <c r="AG23" s="36"/>
      <c r="AH23" s="38"/>
      <c r="AI23" s="39"/>
      <c r="AJ23" s="38"/>
      <c r="AK23" s="38"/>
      <c r="AL23" s="38"/>
      <c r="AM23" s="38"/>
      <c r="AN23" s="38" t="s">
        <v>11</v>
      </c>
      <c r="BA23" s="10">
        <v>22</v>
      </c>
      <c r="BB23" s="10">
        <f t="shared" si="0"/>
        <v>4</v>
      </c>
      <c r="BC23" t="str">
        <f t="shared" si="1"/>
        <v>W</v>
      </c>
      <c r="BD23" s="10">
        <v>22</v>
      </c>
    </row>
    <row r="24" spans="1:56">
      <c r="X24" s="10"/>
      <c r="Y24" s="10"/>
      <c r="Z24" s="10"/>
      <c r="AA24" s="10"/>
      <c r="AB24" s="10"/>
      <c r="AC24" s="10"/>
      <c r="AD24" s="10"/>
      <c r="AE24" s="10"/>
      <c r="AF24" s="33"/>
      <c r="AG24" s="10"/>
      <c r="BA24" s="10">
        <v>23</v>
      </c>
      <c r="BB24" s="10">
        <f t="shared" si="0"/>
        <v>24</v>
      </c>
      <c r="BC24" t="str">
        <f t="shared" si="1"/>
        <v>X</v>
      </c>
      <c r="BD24" s="10">
        <v>23</v>
      </c>
    </row>
    <row r="25" spans="1:56">
      <c r="BA25" s="10">
        <v>24</v>
      </c>
      <c r="BB25" s="10">
        <f t="shared" si="0"/>
        <v>23</v>
      </c>
      <c r="BC25" t="str">
        <f t="shared" si="1"/>
        <v>Y</v>
      </c>
      <c r="BD25" s="10">
        <v>24</v>
      </c>
    </row>
    <row r="26" spans="1:56">
      <c r="A26">
        <f>VLOOKUP(C26,W37:X64,2)</f>
        <v>4</v>
      </c>
      <c r="C26">
        <v>22</v>
      </c>
      <c r="D26">
        <v>2</v>
      </c>
      <c r="E26">
        <v>27</v>
      </c>
      <c r="F26">
        <v>0</v>
      </c>
      <c r="G26">
        <v>6</v>
      </c>
      <c r="H26">
        <v>11</v>
      </c>
      <c r="I26">
        <v>0</v>
      </c>
      <c r="J26">
        <v>17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BA26" s="10">
        <v>25</v>
      </c>
      <c r="BB26" s="10">
        <f t="shared" si="0"/>
        <v>7</v>
      </c>
      <c r="BC26" t="str">
        <f t="shared" si="1"/>
        <v>Z</v>
      </c>
      <c r="BD26" s="10">
        <v>25</v>
      </c>
    </row>
    <row r="27" spans="1:56">
      <c r="C27">
        <v>3</v>
      </c>
      <c r="D27">
        <v>19</v>
      </c>
      <c r="E27">
        <v>3</v>
      </c>
      <c r="F27">
        <v>5</v>
      </c>
      <c r="G27">
        <v>23</v>
      </c>
      <c r="H27">
        <v>6</v>
      </c>
      <c r="I27">
        <v>7</v>
      </c>
      <c r="J27">
        <v>22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BA27" s="10">
        <v>26</v>
      </c>
      <c r="BB27" s="10">
        <f t="shared" si="0"/>
        <v>19</v>
      </c>
      <c r="BC27" t="s">
        <v>3</v>
      </c>
      <c r="BD27" s="10">
        <v>26</v>
      </c>
    </row>
    <row r="28" spans="1:56">
      <c r="C28">
        <v>7</v>
      </c>
      <c r="D28">
        <v>16</v>
      </c>
      <c r="E28">
        <v>6</v>
      </c>
      <c r="F28">
        <v>14</v>
      </c>
      <c r="G28">
        <v>14</v>
      </c>
      <c r="H28">
        <v>7</v>
      </c>
      <c r="I28">
        <v>25</v>
      </c>
      <c r="J28">
        <v>24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BA28" s="10">
        <v>27</v>
      </c>
      <c r="BB28" s="10">
        <f t="shared" si="0"/>
        <v>14</v>
      </c>
      <c r="BC28" t="s">
        <v>0</v>
      </c>
      <c r="BD28" s="10">
        <v>27</v>
      </c>
    </row>
    <row r="29" spans="1:56">
      <c r="C29">
        <v>24</v>
      </c>
      <c r="D29">
        <v>6</v>
      </c>
      <c r="E29">
        <v>5</v>
      </c>
      <c r="F29">
        <v>18</v>
      </c>
      <c r="G29">
        <v>1</v>
      </c>
      <c r="H29">
        <v>14</v>
      </c>
      <c r="I29">
        <v>19</v>
      </c>
      <c r="J29">
        <v>27</v>
      </c>
      <c r="K29">
        <v>0</v>
      </c>
      <c r="L29">
        <v>0</v>
      </c>
      <c r="M29">
        <v>0</v>
      </c>
      <c r="N29">
        <v>1</v>
      </c>
      <c r="O29">
        <v>0</v>
      </c>
      <c r="P29">
        <v>0</v>
      </c>
      <c r="Q29">
        <v>0</v>
      </c>
      <c r="R29">
        <v>0</v>
      </c>
      <c r="BA29" s="10">
        <v>28</v>
      </c>
      <c r="BB29" s="10">
        <f t="shared" si="0"/>
        <v>28</v>
      </c>
      <c r="BC29" t="s">
        <v>1</v>
      </c>
      <c r="BD29" s="10">
        <v>28</v>
      </c>
    </row>
    <row r="30" spans="1:56">
      <c r="C30">
        <v>22</v>
      </c>
      <c r="D30">
        <v>5</v>
      </c>
      <c r="E30">
        <v>6</v>
      </c>
      <c r="F30">
        <v>27</v>
      </c>
      <c r="G30">
        <v>0</v>
      </c>
      <c r="H30">
        <v>24</v>
      </c>
      <c r="I30">
        <v>27</v>
      </c>
      <c r="J30">
        <v>4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0</v>
      </c>
    </row>
    <row r="31" spans="1:56">
      <c r="C31">
        <v>22</v>
      </c>
      <c r="D31">
        <v>20</v>
      </c>
      <c r="E31">
        <v>15</v>
      </c>
      <c r="F31">
        <v>5</v>
      </c>
      <c r="G31">
        <v>3</v>
      </c>
      <c r="H31">
        <v>27</v>
      </c>
      <c r="I31">
        <v>2</v>
      </c>
      <c r="J31">
        <v>5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</row>
    <row r="32" spans="1:56">
      <c r="C32">
        <v>13</v>
      </c>
      <c r="D32">
        <v>22</v>
      </c>
      <c r="E32">
        <v>19</v>
      </c>
      <c r="F32">
        <v>9</v>
      </c>
      <c r="G32">
        <v>3</v>
      </c>
      <c r="H32">
        <v>7</v>
      </c>
      <c r="I32">
        <v>18</v>
      </c>
      <c r="J32">
        <v>26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</row>
    <row r="33" spans="3:25">
      <c r="C33">
        <v>18</v>
      </c>
      <c r="D33">
        <v>7</v>
      </c>
      <c r="E33">
        <v>16</v>
      </c>
      <c r="F33">
        <v>0</v>
      </c>
      <c r="G33">
        <v>13</v>
      </c>
      <c r="H33">
        <v>11</v>
      </c>
      <c r="I33">
        <v>1</v>
      </c>
      <c r="J33">
        <v>6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</row>
    <row r="36" spans="3:25">
      <c r="C36">
        <v>1</v>
      </c>
      <c r="D36">
        <v>8</v>
      </c>
      <c r="E36">
        <v>21</v>
      </c>
      <c r="F36">
        <v>0</v>
      </c>
      <c r="G36">
        <v>24</v>
      </c>
      <c r="H36">
        <v>15</v>
      </c>
      <c r="I36">
        <v>0</v>
      </c>
      <c r="J36">
        <v>10</v>
      </c>
      <c r="K36">
        <v>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3:25">
      <c r="C37">
        <v>0</v>
      </c>
      <c r="D37">
        <v>24</v>
      </c>
      <c r="E37">
        <v>27</v>
      </c>
      <c r="F37">
        <v>5</v>
      </c>
      <c r="G37">
        <v>9</v>
      </c>
      <c r="H37">
        <v>19</v>
      </c>
      <c r="I37">
        <v>7</v>
      </c>
      <c r="J37">
        <v>21</v>
      </c>
      <c r="K37">
        <v>17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W37" s="10">
        <v>1</v>
      </c>
      <c r="X37" s="10">
        <f t="shared" ref="X37:X64" si="39">MOD(MOD(W37^3,29)*MOD(MOD(W37^4,29)^2,29)*MOD(MOD(MOD(W37^4,29)^2,29)^2,29),29)</f>
        <v>1</v>
      </c>
      <c r="Y37" s="10"/>
    </row>
    <row r="38" spans="3:25">
      <c r="C38">
        <v>0</v>
      </c>
      <c r="D38">
        <v>18</v>
      </c>
      <c r="E38">
        <v>4</v>
      </c>
      <c r="F38">
        <v>14</v>
      </c>
      <c r="G38">
        <v>20</v>
      </c>
      <c r="H38">
        <v>18</v>
      </c>
      <c r="I38">
        <v>25</v>
      </c>
      <c r="J38">
        <v>12</v>
      </c>
      <c r="K38">
        <v>1</v>
      </c>
      <c r="L38">
        <v>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W38" s="10">
        <v>2</v>
      </c>
      <c r="X38" s="10">
        <f t="shared" si="39"/>
        <v>15</v>
      </c>
      <c r="Y38" s="10"/>
    </row>
    <row r="39" spans="3:25" ht="12.75" customHeight="1">
      <c r="C39">
        <v>0</v>
      </c>
      <c r="D39">
        <v>17</v>
      </c>
      <c r="E39">
        <v>23</v>
      </c>
      <c r="F39">
        <v>18</v>
      </c>
      <c r="G39">
        <v>5</v>
      </c>
      <c r="H39">
        <v>2</v>
      </c>
      <c r="I39">
        <v>19</v>
      </c>
      <c r="J39">
        <v>19</v>
      </c>
      <c r="K39">
        <v>20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W39" s="10">
        <v>3</v>
      </c>
      <c r="X39" s="10">
        <f t="shared" si="39"/>
        <v>10</v>
      </c>
      <c r="Y39" s="10"/>
    </row>
    <row r="40" spans="3:25">
      <c r="C40">
        <v>0</v>
      </c>
      <c r="D40">
        <v>3</v>
      </c>
      <c r="E40">
        <v>8</v>
      </c>
      <c r="F40">
        <v>27</v>
      </c>
      <c r="G40">
        <v>23</v>
      </c>
      <c r="H40">
        <v>13</v>
      </c>
      <c r="I40">
        <v>27</v>
      </c>
      <c r="J40">
        <v>16</v>
      </c>
      <c r="K40">
        <v>28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W40" s="10">
        <v>4</v>
      </c>
      <c r="X40" s="10">
        <f t="shared" si="39"/>
        <v>22</v>
      </c>
      <c r="Y40" s="10"/>
    </row>
    <row r="41" spans="3:25">
      <c r="C41">
        <v>0</v>
      </c>
      <c r="D41">
        <v>18</v>
      </c>
      <c r="E41">
        <v>17</v>
      </c>
      <c r="F41">
        <v>5</v>
      </c>
      <c r="G41">
        <v>26</v>
      </c>
      <c r="H41">
        <v>16</v>
      </c>
      <c r="I41">
        <v>2</v>
      </c>
      <c r="J41">
        <v>17</v>
      </c>
      <c r="K41">
        <v>28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W41" s="10">
        <v>5</v>
      </c>
      <c r="X41" s="10">
        <f t="shared" si="39"/>
        <v>6</v>
      </c>
      <c r="Y41" s="10"/>
    </row>
    <row r="42" spans="3:25">
      <c r="C42">
        <v>0</v>
      </c>
      <c r="D42">
        <v>5</v>
      </c>
      <c r="E42">
        <v>7</v>
      </c>
      <c r="F42">
        <v>9</v>
      </c>
      <c r="G42">
        <v>10</v>
      </c>
      <c r="H42">
        <v>15</v>
      </c>
      <c r="I42">
        <v>18</v>
      </c>
      <c r="J42">
        <v>12</v>
      </c>
      <c r="K42">
        <v>6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W42" s="10">
        <v>6</v>
      </c>
      <c r="X42" s="10">
        <f t="shared" si="39"/>
        <v>5</v>
      </c>
      <c r="Y42" s="10"/>
    </row>
    <row r="43" spans="3:25">
      <c r="C43">
        <v>0</v>
      </c>
      <c r="D43">
        <v>8</v>
      </c>
      <c r="E43">
        <v>15</v>
      </c>
      <c r="F43">
        <v>0</v>
      </c>
      <c r="G43">
        <v>16</v>
      </c>
      <c r="H43">
        <v>2</v>
      </c>
      <c r="I43">
        <v>1</v>
      </c>
      <c r="J43">
        <v>0</v>
      </c>
      <c r="K43">
        <v>15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W43" s="10">
        <v>7</v>
      </c>
      <c r="X43" s="10">
        <f t="shared" si="39"/>
        <v>25</v>
      </c>
      <c r="Y43" s="10"/>
    </row>
    <row r="44" spans="3:25">
      <c r="W44" s="10">
        <v>8</v>
      </c>
      <c r="X44" s="10">
        <f t="shared" si="39"/>
        <v>11</v>
      </c>
      <c r="Y44" s="10"/>
    </row>
    <row r="45" spans="3:25">
      <c r="W45" s="10">
        <v>9</v>
      </c>
      <c r="X45" s="10">
        <f t="shared" si="39"/>
        <v>13</v>
      </c>
      <c r="Y45" s="10"/>
    </row>
    <row r="46" spans="3:25">
      <c r="C46">
        <v>1</v>
      </c>
      <c r="D46">
        <v>8</v>
      </c>
      <c r="E46">
        <v>21</v>
      </c>
      <c r="F46">
        <v>0</v>
      </c>
      <c r="G46">
        <v>24</v>
      </c>
      <c r="H46">
        <v>15</v>
      </c>
      <c r="I46">
        <v>0</v>
      </c>
      <c r="J46">
        <v>10</v>
      </c>
      <c r="K46">
        <v>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W46" s="10">
        <v>10</v>
      </c>
      <c r="X46" s="10">
        <f t="shared" si="39"/>
        <v>3</v>
      </c>
      <c r="Y46" s="10"/>
    </row>
    <row r="47" spans="3:25">
      <c r="C47">
        <v>0</v>
      </c>
      <c r="D47">
        <v>1</v>
      </c>
      <c r="E47">
        <v>12</v>
      </c>
      <c r="F47">
        <v>28</v>
      </c>
      <c r="G47">
        <v>4</v>
      </c>
      <c r="H47">
        <v>2</v>
      </c>
      <c r="I47">
        <v>16</v>
      </c>
      <c r="J47">
        <v>19</v>
      </c>
      <c r="K47">
        <v>14</v>
      </c>
      <c r="L47">
        <v>23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W47" s="10">
        <v>11</v>
      </c>
      <c r="X47" s="10">
        <f t="shared" si="39"/>
        <v>8</v>
      </c>
      <c r="Y47" s="10"/>
    </row>
    <row r="48" spans="3:25">
      <c r="C48">
        <v>0</v>
      </c>
      <c r="D48">
        <v>0</v>
      </c>
      <c r="E48">
        <v>20</v>
      </c>
      <c r="F48">
        <v>3</v>
      </c>
      <c r="G48">
        <v>6</v>
      </c>
      <c r="H48">
        <v>11</v>
      </c>
      <c r="I48">
        <v>27</v>
      </c>
      <c r="J48">
        <v>18</v>
      </c>
      <c r="K48">
        <v>10</v>
      </c>
      <c r="L48">
        <v>21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W48" s="10">
        <v>12</v>
      </c>
      <c r="X48" s="10">
        <f t="shared" si="39"/>
        <v>17</v>
      </c>
      <c r="Y48" s="10"/>
    </row>
    <row r="49" spans="3:25">
      <c r="C49">
        <v>0</v>
      </c>
      <c r="D49">
        <v>0</v>
      </c>
      <c r="E49">
        <v>22</v>
      </c>
      <c r="F49">
        <v>6</v>
      </c>
      <c r="G49">
        <v>24</v>
      </c>
      <c r="H49">
        <v>26</v>
      </c>
      <c r="I49">
        <v>8</v>
      </c>
      <c r="J49">
        <v>15</v>
      </c>
      <c r="K49">
        <v>14</v>
      </c>
      <c r="L49">
        <v>15</v>
      </c>
      <c r="M49">
        <v>0</v>
      </c>
      <c r="N49">
        <v>1</v>
      </c>
      <c r="O49">
        <v>0</v>
      </c>
      <c r="P49">
        <v>0</v>
      </c>
      <c r="Q49">
        <v>0</v>
      </c>
      <c r="R49">
        <v>0</v>
      </c>
      <c r="W49" s="10">
        <v>13</v>
      </c>
      <c r="X49" s="10">
        <f t="shared" si="39"/>
        <v>9</v>
      </c>
      <c r="Y49" s="10"/>
    </row>
    <row r="50" spans="3:25">
      <c r="C50">
        <v>0</v>
      </c>
      <c r="D50">
        <v>0</v>
      </c>
      <c r="E50">
        <v>1</v>
      </c>
      <c r="F50">
        <v>1</v>
      </c>
      <c r="G50">
        <v>11</v>
      </c>
      <c r="H50">
        <v>7</v>
      </c>
      <c r="I50">
        <v>8</v>
      </c>
      <c r="J50">
        <v>17</v>
      </c>
      <c r="K50">
        <v>15</v>
      </c>
      <c r="L50">
        <v>18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W50" s="10">
        <v>14</v>
      </c>
      <c r="X50" s="10">
        <f t="shared" si="39"/>
        <v>27</v>
      </c>
      <c r="Y50" s="10"/>
    </row>
    <row r="51" spans="3:25">
      <c r="C51">
        <v>0</v>
      </c>
      <c r="D51">
        <v>0</v>
      </c>
      <c r="E51">
        <v>4</v>
      </c>
      <c r="F51">
        <v>23</v>
      </c>
      <c r="G51">
        <v>12</v>
      </c>
      <c r="H51">
        <v>9</v>
      </c>
      <c r="I51">
        <v>4</v>
      </c>
      <c r="J51">
        <v>23</v>
      </c>
      <c r="K51">
        <v>8</v>
      </c>
      <c r="L51">
        <v>21</v>
      </c>
      <c r="M51">
        <v>0</v>
      </c>
      <c r="N51">
        <v>0</v>
      </c>
      <c r="O51">
        <v>0</v>
      </c>
      <c r="P51">
        <v>1</v>
      </c>
      <c r="Q51">
        <v>0</v>
      </c>
      <c r="R51">
        <v>0</v>
      </c>
      <c r="W51" s="10">
        <v>15</v>
      </c>
      <c r="X51" s="10">
        <f t="shared" si="39"/>
        <v>2</v>
      </c>
      <c r="Y51" s="10"/>
    </row>
    <row r="52" spans="3:25">
      <c r="C52">
        <v>0</v>
      </c>
      <c r="D52">
        <v>0</v>
      </c>
      <c r="E52">
        <v>5</v>
      </c>
      <c r="F52">
        <v>14</v>
      </c>
      <c r="G52">
        <v>19</v>
      </c>
      <c r="H52">
        <v>5</v>
      </c>
      <c r="I52">
        <v>25</v>
      </c>
      <c r="J52">
        <v>4</v>
      </c>
      <c r="K52">
        <v>23</v>
      </c>
      <c r="L52">
        <v>1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W52" s="10">
        <v>16</v>
      </c>
      <c r="X52" s="10">
        <f t="shared" si="39"/>
        <v>20</v>
      </c>
      <c r="Y52" s="10"/>
    </row>
    <row r="53" spans="3:25">
      <c r="C53">
        <v>0</v>
      </c>
      <c r="D53">
        <v>0</v>
      </c>
      <c r="E53">
        <v>6</v>
      </c>
      <c r="F53">
        <v>8</v>
      </c>
      <c r="G53">
        <v>13</v>
      </c>
      <c r="H53">
        <v>15</v>
      </c>
      <c r="I53">
        <v>18</v>
      </c>
      <c r="J53">
        <v>22</v>
      </c>
      <c r="K53">
        <v>19</v>
      </c>
      <c r="L53">
        <v>19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W53" s="10">
        <v>17</v>
      </c>
      <c r="X53" s="10">
        <f t="shared" si="39"/>
        <v>12</v>
      </c>
      <c r="Y53" s="10"/>
    </row>
    <row r="54" spans="3:25">
      <c r="W54" s="10">
        <v>18</v>
      </c>
      <c r="X54" s="10">
        <f t="shared" si="39"/>
        <v>21</v>
      </c>
      <c r="Y54" s="10"/>
    </row>
    <row r="55" spans="3:25">
      <c r="W55" s="10">
        <v>19</v>
      </c>
      <c r="X55" s="10">
        <f t="shared" si="39"/>
        <v>26</v>
      </c>
      <c r="Y55" s="10"/>
    </row>
    <row r="56" spans="3:25">
      <c r="C56">
        <v>1</v>
      </c>
      <c r="D56">
        <v>8</v>
      </c>
      <c r="E56">
        <v>21</v>
      </c>
      <c r="F56">
        <v>0</v>
      </c>
      <c r="G56">
        <v>24</v>
      </c>
      <c r="H56">
        <v>15</v>
      </c>
      <c r="I56">
        <v>0</v>
      </c>
      <c r="J56">
        <v>10</v>
      </c>
      <c r="K56">
        <v>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W56" s="10">
        <v>20</v>
      </c>
      <c r="X56" s="10">
        <f t="shared" si="39"/>
        <v>16</v>
      </c>
      <c r="Y56" s="10"/>
    </row>
    <row r="57" spans="3:25">
      <c r="C57">
        <v>0</v>
      </c>
      <c r="D57">
        <v>1</v>
      </c>
      <c r="E57">
        <v>12</v>
      </c>
      <c r="F57">
        <v>28</v>
      </c>
      <c r="G57">
        <v>4</v>
      </c>
      <c r="H57">
        <v>2</v>
      </c>
      <c r="I57">
        <v>16</v>
      </c>
      <c r="J57">
        <v>19</v>
      </c>
      <c r="K57">
        <v>14</v>
      </c>
      <c r="L57">
        <v>23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W57" s="10">
        <v>21</v>
      </c>
      <c r="X57" s="10">
        <f t="shared" si="39"/>
        <v>18</v>
      </c>
      <c r="Y57" s="10"/>
    </row>
    <row r="58" spans="3:25">
      <c r="C58">
        <v>0</v>
      </c>
      <c r="D58">
        <v>0</v>
      </c>
      <c r="E58">
        <v>1</v>
      </c>
      <c r="F58">
        <v>19</v>
      </c>
      <c r="G58">
        <v>9</v>
      </c>
      <c r="H58">
        <v>2</v>
      </c>
      <c r="I58">
        <v>26</v>
      </c>
      <c r="J58">
        <v>27</v>
      </c>
      <c r="K58">
        <v>15</v>
      </c>
      <c r="L58">
        <v>17</v>
      </c>
      <c r="M58">
        <v>16</v>
      </c>
      <c r="N58">
        <v>0</v>
      </c>
      <c r="O58">
        <v>0</v>
      </c>
      <c r="P58">
        <v>0</v>
      </c>
      <c r="Q58">
        <v>0</v>
      </c>
      <c r="R58">
        <v>0</v>
      </c>
      <c r="W58" s="10">
        <v>22</v>
      </c>
      <c r="X58" s="10">
        <f t="shared" si="39"/>
        <v>4</v>
      </c>
      <c r="Y58" s="10"/>
    </row>
    <row r="59" spans="3:25">
      <c r="C59">
        <v>0</v>
      </c>
      <c r="D59">
        <v>0</v>
      </c>
      <c r="E59">
        <v>0</v>
      </c>
      <c r="F59">
        <v>23</v>
      </c>
      <c r="G59">
        <v>0</v>
      </c>
      <c r="H59">
        <v>11</v>
      </c>
      <c r="I59">
        <v>16</v>
      </c>
      <c r="J59">
        <v>1</v>
      </c>
      <c r="K59">
        <v>3</v>
      </c>
      <c r="L59">
        <v>18</v>
      </c>
      <c r="M59">
        <v>25</v>
      </c>
      <c r="N59">
        <v>1</v>
      </c>
      <c r="O59">
        <v>0</v>
      </c>
      <c r="P59">
        <v>0</v>
      </c>
      <c r="Q59">
        <v>0</v>
      </c>
      <c r="R59">
        <v>0</v>
      </c>
      <c r="W59" s="10">
        <v>23</v>
      </c>
      <c r="X59" s="10">
        <f t="shared" si="39"/>
        <v>24</v>
      </c>
      <c r="Y59" s="10"/>
    </row>
    <row r="60" spans="3:25">
      <c r="C60">
        <v>0</v>
      </c>
      <c r="D60">
        <v>0</v>
      </c>
      <c r="E60">
        <v>0</v>
      </c>
      <c r="F60">
        <v>11</v>
      </c>
      <c r="G60">
        <v>2</v>
      </c>
      <c r="H60">
        <v>5</v>
      </c>
      <c r="I60">
        <v>11</v>
      </c>
      <c r="J60">
        <v>19</v>
      </c>
      <c r="K60">
        <v>0</v>
      </c>
      <c r="L60">
        <v>1</v>
      </c>
      <c r="M60">
        <v>13</v>
      </c>
      <c r="N60">
        <v>0</v>
      </c>
      <c r="O60">
        <v>1</v>
      </c>
      <c r="P60">
        <v>0</v>
      </c>
      <c r="Q60">
        <v>0</v>
      </c>
      <c r="R60">
        <v>0</v>
      </c>
      <c r="W60" s="10">
        <v>24</v>
      </c>
      <c r="X60" s="10">
        <f t="shared" si="39"/>
        <v>23</v>
      </c>
      <c r="Y60" s="10"/>
    </row>
    <row r="61" spans="3:25">
      <c r="C61">
        <v>0</v>
      </c>
      <c r="D61">
        <v>0</v>
      </c>
      <c r="E61">
        <v>0</v>
      </c>
      <c r="F61">
        <v>5</v>
      </c>
      <c r="G61">
        <v>5</v>
      </c>
      <c r="H61">
        <v>1</v>
      </c>
      <c r="I61">
        <v>16</v>
      </c>
      <c r="J61">
        <v>2</v>
      </c>
      <c r="K61">
        <v>6</v>
      </c>
      <c r="L61">
        <v>11</v>
      </c>
      <c r="M61">
        <v>23</v>
      </c>
      <c r="N61">
        <v>0</v>
      </c>
      <c r="O61">
        <v>0</v>
      </c>
      <c r="P61">
        <v>1</v>
      </c>
      <c r="Q61">
        <v>0</v>
      </c>
      <c r="R61">
        <v>0</v>
      </c>
      <c r="W61" s="10">
        <v>25</v>
      </c>
      <c r="X61" s="10">
        <f t="shared" si="39"/>
        <v>7</v>
      </c>
      <c r="Y61" s="10"/>
    </row>
    <row r="62" spans="3:25">
      <c r="C62">
        <v>0</v>
      </c>
      <c r="D62">
        <v>0</v>
      </c>
      <c r="E62">
        <v>0</v>
      </c>
      <c r="F62">
        <v>6</v>
      </c>
      <c r="G62">
        <v>3</v>
      </c>
      <c r="H62">
        <v>24</v>
      </c>
      <c r="I62">
        <v>11</v>
      </c>
      <c r="J62">
        <v>14</v>
      </c>
      <c r="K62">
        <v>6</v>
      </c>
      <c r="L62">
        <v>3</v>
      </c>
      <c r="M62">
        <v>7</v>
      </c>
      <c r="N62">
        <v>0</v>
      </c>
      <c r="O62">
        <v>0</v>
      </c>
      <c r="P62">
        <v>0</v>
      </c>
      <c r="Q62">
        <v>1</v>
      </c>
      <c r="R62">
        <v>0</v>
      </c>
      <c r="W62" s="10">
        <v>26</v>
      </c>
      <c r="X62" s="10">
        <f t="shared" si="39"/>
        <v>19</v>
      </c>
      <c r="Y62" s="10"/>
    </row>
    <row r="63" spans="3:25">
      <c r="C63">
        <v>0</v>
      </c>
      <c r="D63">
        <v>0</v>
      </c>
      <c r="E63">
        <v>0</v>
      </c>
      <c r="F63">
        <v>10</v>
      </c>
      <c r="G63">
        <v>17</v>
      </c>
      <c r="H63">
        <v>3</v>
      </c>
      <c r="I63">
        <v>7</v>
      </c>
      <c r="J63">
        <v>5</v>
      </c>
      <c r="K63">
        <v>16</v>
      </c>
      <c r="L63">
        <v>4</v>
      </c>
      <c r="M63">
        <v>20</v>
      </c>
      <c r="N63">
        <v>0</v>
      </c>
      <c r="O63">
        <v>0</v>
      </c>
      <c r="P63">
        <v>0</v>
      </c>
      <c r="Q63">
        <v>0</v>
      </c>
      <c r="R63">
        <v>1</v>
      </c>
      <c r="W63" s="10">
        <v>27</v>
      </c>
      <c r="X63" s="10">
        <f t="shared" si="39"/>
        <v>14</v>
      </c>
      <c r="Y63" s="10"/>
    </row>
    <row r="64" spans="3:25">
      <c r="W64" s="10">
        <v>28</v>
      </c>
      <c r="X64" s="10">
        <f t="shared" si="39"/>
        <v>28</v>
      </c>
      <c r="Y64" s="10"/>
    </row>
    <row r="65" spans="3:25">
      <c r="V65" s="10"/>
      <c r="W65" s="10"/>
      <c r="X65" s="10"/>
      <c r="Y65" s="10"/>
    </row>
    <row r="66" spans="3:25">
      <c r="C66">
        <v>1</v>
      </c>
      <c r="D66">
        <v>8</v>
      </c>
      <c r="E66">
        <v>21</v>
      </c>
      <c r="F66">
        <v>0</v>
      </c>
      <c r="G66">
        <v>24</v>
      </c>
      <c r="H66">
        <v>15</v>
      </c>
      <c r="I66">
        <v>0</v>
      </c>
      <c r="J66">
        <v>10</v>
      </c>
      <c r="K66">
        <v>4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V66" s="10"/>
      <c r="W66" s="10"/>
      <c r="X66" s="10"/>
      <c r="Y66" s="10"/>
    </row>
    <row r="67" spans="3:25">
      <c r="C67">
        <v>0</v>
      </c>
      <c r="D67">
        <v>1</v>
      </c>
      <c r="E67">
        <v>12</v>
      </c>
      <c r="F67">
        <v>28</v>
      </c>
      <c r="G67">
        <v>4</v>
      </c>
      <c r="H67">
        <v>2</v>
      </c>
      <c r="I67">
        <v>16</v>
      </c>
      <c r="J67">
        <v>19</v>
      </c>
      <c r="K67">
        <v>14</v>
      </c>
      <c r="L67">
        <v>23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V67" s="10"/>
      <c r="W67" s="10"/>
      <c r="X67" s="10"/>
      <c r="Y67" s="10"/>
    </row>
    <row r="68" spans="3:25">
      <c r="C68">
        <v>0</v>
      </c>
      <c r="D68">
        <v>0</v>
      </c>
      <c r="E68">
        <v>1</v>
      </c>
      <c r="F68">
        <v>19</v>
      </c>
      <c r="G68">
        <v>9</v>
      </c>
      <c r="H68">
        <v>2</v>
      </c>
      <c r="I68">
        <v>26</v>
      </c>
      <c r="J68">
        <v>27</v>
      </c>
      <c r="K68">
        <v>15</v>
      </c>
      <c r="L68">
        <v>17</v>
      </c>
      <c r="M68">
        <v>16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3:25">
      <c r="C69">
        <v>0</v>
      </c>
      <c r="D69">
        <v>0</v>
      </c>
      <c r="E69">
        <v>0</v>
      </c>
      <c r="F69">
        <v>1</v>
      </c>
      <c r="G69">
        <v>0</v>
      </c>
      <c r="H69">
        <v>3</v>
      </c>
      <c r="I69">
        <v>7</v>
      </c>
      <c r="J69">
        <v>24</v>
      </c>
      <c r="K69">
        <v>14</v>
      </c>
      <c r="L69">
        <v>26</v>
      </c>
      <c r="M69">
        <v>20</v>
      </c>
      <c r="N69">
        <v>24</v>
      </c>
      <c r="O69">
        <v>0</v>
      </c>
      <c r="P69">
        <v>0</v>
      </c>
      <c r="Q69">
        <v>0</v>
      </c>
      <c r="R69">
        <v>0</v>
      </c>
    </row>
    <row r="70" spans="3:25">
      <c r="C70">
        <v>0</v>
      </c>
      <c r="D70">
        <v>0</v>
      </c>
      <c r="E70">
        <v>0</v>
      </c>
      <c r="F70">
        <v>0</v>
      </c>
      <c r="G70">
        <v>2</v>
      </c>
      <c r="H70">
        <v>1</v>
      </c>
      <c r="I70">
        <v>21</v>
      </c>
      <c r="J70">
        <v>16</v>
      </c>
      <c r="K70">
        <v>20</v>
      </c>
      <c r="L70">
        <v>5</v>
      </c>
      <c r="M70">
        <v>25</v>
      </c>
      <c r="N70">
        <v>26</v>
      </c>
      <c r="O70">
        <v>1</v>
      </c>
      <c r="P70">
        <v>0</v>
      </c>
      <c r="Q70">
        <v>0</v>
      </c>
      <c r="R70">
        <v>0</v>
      </c>
    </row>
    <row r="71" spans="3:25">
      <c r="C71">
        <v>0</v>
      </c>
      <c r="D71">
        <v>0</v>
      </c>
      <c r="E71">
        <v>0</v>
      </c>
      <c r="F71">
        <v>0</v>
      </c>
      <c r="G71">
        <v>5</v>
      </c>
      <c r="H71">
        <v>15</v>
      </c>
      <c r="I71">
        <v>10</v>
      </c>
      <c r="J71">
        <v>27</v>
      </c>
      <c r="K71">
        <v>23</v>
      </c>
      <c r="L71">
        <v>26</v>
      </c>
      <c r="M71">
        <v>10</v>
      </c>
      <c r="N71">
        <v>25</v>
      </c>
      <c r="O71">
        <v>0</v>
      </c>
      <c r="P71">
        <v>1</v>
      </c>
      <c r="Q71">
        <v>0</v>
      </c>
      <c r="R71">
        <v>0</v>
      </c>
    </row>
    <row r="72" spans="3:25">
      <c r="C72">
        <v>0</v>
      </c>
      <c r="D72">
        <v>0</v>
      </c>
      <c r="E72">
        <v>0</v>
      </c>
      <c r="F72">
        <v>0</v>
      </c>
      <c r="G72">
        <v>3</v>
      </c>
      <c r="H72">
        <v>6</v>
      </c>
      <c r="I72">
        <v>27</v>
      </c>
      <c r="J72">
        <v>15</v>
      </c>
      <c r="K72">
        <v>9</v>
      </c>
      <c r="L72">
        <v>21</v>
      </c>
      <c r="M72">
        <v>3</v>
      </c>
      <c r="N72">
        <v>1</v>
      </c>
      <c r="O72">
        <v>0</v>
      </c>
      <c r="P72">
        <v>0</v>
      </c>
      <c r="Q72">
        <v>1</v>
      </c>
      <c r="R72">
        <v>0</v>
      </c>
    </row>
    <row r="73" spans="3:25">
      <c r="C73">
        <v>0</v>
      </c>
      <c r="D73">
        <v>0</v>
      </c>
      <c r="E73">
        <v>0</v>
      </c>
      <c r="F73">
        <v>0</v>
      </c>
      <c r="G73">
        <v>17</v>
      </c>
      <c r="H73">
        <v>2</v>
      </c>
      <c r="I73">
        <v>24</v>
      </c>
      <c r="J73">
        <v>26</v>
      </c>
      <c r="K73">
        <v>21</v>
      </c>
      <c r="L73">
        <v>5</v>
      </c>
      <c r="M73">
        <v>23</v>
      </c>
      <c r="N73">
        <v>21</v>
      </c>
      <c r="O73">
        <v>0</v>
      </c>
      <c r="P73">
        <v>0</v>
      </c>
      <c r="Q73">
        <v>0</v>
      </c>
      <c r="R73">
        <v>1</v>
      </c>
    </row>
    <row r="76" spans="3:25">
      <c r="C76">
        <v>1</v>
      </c>
      <c r="D76">
        <v>8</v>
      </c>
      <c r="E76">
        <v>21</v>
      </c>
      <c r="F76">
        <v>0</v>
      </c>
      <c r="G76">
        <v>24</v>
      </c>
      <c r="H76">
        <v>15</v>
      </c>
      <c r="I76">
        <v>0</v>
      </c>
      <c r="J76">
        <v>10</v>
      </c>
      <c r="K76">
        <v>4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3:25">
      <c r="C77">
        <v>0</v>
      </c>
      <c r="D77">
        <v>1</v>
      </c>
      <c r="E77">
        <v>12</v>
      </c>
      <c r="F77">
        <v>28</v>
      </c>
      <c r="G77">
        <v>4</v>
      </c>
      <c r="H77">
        <v>2</v>
      </c>
      <c r="I77">
        <v>16</v>
      </c>
      <c r="J77">
        <v>19</v>
      </c>
      <c r="K77">
        <v>14</v>
      </c>
      <c r="L77">
        <v>23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3:25">
      <c r="C78">
        <v>0</v>
      </c>
      <c r="D78">
        <v>0</v>
      </c>
      <c r="E78">
        <v>1</v>
      </c>
      <c r="F78">
        <v>19</v>
      </c>
      <c r="G78">
        <v>9</v>
      </c>
      <c r="H78">
        <v>2</v>
      </c>
      <c r="I78">
        <v>26</v>
      </c>
      <c r="J78">
        <v>27</v>
      </c>
      <c r="K78">
        <v>15</v>
      </c>
      <c r="L78">
        <v>17</v>
      </c>
      <c r="M78">
        <v>16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3:25">
      <c r="C79">
        <v>0</v>
      </c>
      <c r="D79">
        <v>0</v>
      </c>
      <c r="E79">
        <v>0</v>
      </c>
      <c r="F79">
        <v>1</v>
      </c>
      <c r="G79">
        <v>0</v>
      </c>
      <c r="H79">
        <v>3</v>
      </c>
      <c r="I79">
        <v>7</v>
      </c>
      <c r="J79">
        <v>24</v>
      </c>
      <c r="K79">
        <v>14</v>
      </c>
      <c r="L79">
        <v>26</v>
      </c>
      <c r="M79">
        <v>20</v>
      </c>
      <c r="N79">
        <v>24</v>
      </c>
      <c r="O79">
        <v>0</v>
      </c>
      <c r="P79">
        <v>0</v>
      </c>
      <c r="Q79">
        <v>0</v>
      </c>
      <c r="R79">
        <v>0</v>
      </c>
    </row>
    <row r="80" spans="3:25">
      <c r="C80">
        <v>0</v>
      </c>
      <c r="D80">
        <v>0</v>
      </c>
      <c r="E80">
        <v>0</v>
      </c>
      <c r="F80">
        <v>0</v>
      </c>
      <c r="G80">
        <v>1</v>
      </c>
      <c r="H80">
        <v>15</v>
      </c>
      <c r="I80">
        <v>25</v>
      </c>
      <c r="J80">
        <v>8</v>
      </c>
      <c r="K80">
        <v>10</v>
      </c>
      <c r="L80">
        <v>17</v>
      </c>
      <c r="M80">
        <v>27</v>
      </c>
      <c r="N80">
        <v>13</v>
      </c>
      <c r="O80">
        <v>15</v>
      </c>
      <c r="P80">
        <v>0</v>
      </c>
      <c r="Q80">
        <v>0</v>
      </c>
      <c r="R80">
        <v>0</v>
      </c>
    </row>
    <row r="81" spans="3:18">
      <c r="C81">
        <v>0</v>
      </c>
      <c r="D81">
        <v>0</v>
      </c>
      <c r="E81">
        <v>0</v>
      </c>
      <c r="F81">
        <v>0</v>
      </c>
      <c r="G81">
        <v>0</v>
      </c>
      <c r="H81">
        <v>27</v>
      </c>
      <c r="I81">
        <v>1</v>
      </c>
      <c r="J81">
        <v>16</v>
      </c>
      <c r="K81">
        <v>2</v>
      </c>
      <c r="L81">
        <v>28</v>
      </c>
      <c r="M81">
        <v>20</v>
      </c>
      <c r="N81">
        <v>18</v>
      </c>
      <c r="O81">
        <v>12</v>
      </c>
      <c r="P81">
        <v>1</v>
      </c>
      <c r="Q81">
        <v>0</v>
      </c>
      <c r="R81">
        <v>0</v>
      </c>
    </row>
    <row r="82" spans="3:18">
      <c r="C82">
        <v>0</v>
      </c>
      <c r="D82">
        <v>0</v>
      </c>
      <c r="E82">
        <v>0</v>
      </c>
      <c r="F82">
        <v>0</v>
      </c>
      <c r="G82">
        <v>0</v>
      </c>
      <c r="H82">
        <v>19</v>
      </c>
      <c r="I82">
        <v>10</v>
      </c>
      <c r="J82">
        <v>20</v>
      </c>
      <c r="K82">
        <v>8</v>
      </c>
      <c r="L82">
        <v>28</v>
      </c>
      <c r="M82">
        <v>9</v>
      </c>
      <c r="N82">
        <v>20</v>
      </c>
      <c r="O82">
        <v>13</v>
      </c>
      <c r="P82">
        <v>0</v>
      </c>
      <c r="Q82">
        <v>1</v>
      </c>
      <c r="R82">
        <v>0</v>
      </c>
    </row>
    <row r="83" spans="3:18">
      <c r="C83">
        <v>0</v>
      </c>
      <c r="D83">
        <v>0</v>
      </c>
      <c r="E83">
        <v>0</v>
      </c>
      <c r="F83">
        <v>0</v>
      </c>
      <c r="G83">
        <v>0</v>
      </c>
      <c r="H83">
        <v>8</v>
      </c>
      <c r="I83">
        <v>5</v>
      </c>
      <c r="J83">
        <v>6</v>
      </c>
      <c r="K83">
        <v>25</v>
      </c>
      <c r="L83">
        <v>6</v>
      </c>
      <c r="M83">
        <v>28</v>
      </c>
      <c r="N83">
        <v>3</v>
      </c>
      <c r="O83">
        <v>6</v>
      </c>
      <c r="P83">
        <v>0</v>
      </c>
      <c r="Q83">
        <v>0</v>
      </c>
      <c r="R83">
        <v>1</v>
      </c>
    </row>
    <row r="86" spans="3:18">
      <c r="C86">
        <v>1</v>
      </c>
      <c r="D86">
        <v>8</v>
      </c>
      <c r="E86">
        <v>21</v>
      </c>
      <c r="F86">
        <v>0</v>
      </c>
      <c r="G86">
        <v>24</v>
      </c>
      <c r="H86">
        <v>15</v>
      </c>
      <c r="I86">
        <v>0</v>
      </c>
      <c r="J86">
        <v>10</v>
      </c>
      <c r="K86">
        <v>4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3:18">
      <c r="C87">
        <v>0</v>
      </c>
      <c r="D87">
        <v>1</v>
      </c>
      <c r="E87">
        <v>12</v>
      </c>
      <c r="F87">
        <v>28</v>
      </c>
      <c r="G87">
        <v>4</v>
      </c>
      <c r="H87">
        <v>2</v>
      </c>
      <c r="I87">
        <v>16</v>
      </c>
      <c r="J87">
        <v>19</v>
      </c>
      <c r="K87">
        <v>14</v>
      </c>
      <c r="L87">
        <v>23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3:18">
      <c r="C88">
        <v>0</v>
      </c>
      <c r="D88">
        <v>0</v>
      </c>
      <c r="E88">
        <v>1</v>
      </c>
      <c r="F88">
        <v>19</v>
      </c>
      <c r="G88">
        <v>9</v>
      </c>
      <c r="H88">
        <v>2</v>
      </c>
      <c r="I88">
        <v>26</v>
      </c>
      <c r="J88">
        <v>27</v>
      </c>
      <c r="K88">
        <v>15</v>
      </c>
      <c r="L88">
        <v>17</v>
      </c>
      <c r="M88">
        <v>16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3:18">
      <c r="C89">
        <v>0</v>
      </c>
      <c r="D89">
        <v>0</v>
      </c>
      <c r="E89">
        <v>0</v>
      </c>
      <c r="F89">
        <v>1</v>
      </c>
      <c r="G89">
        <v>0</v>
      </c>
      <c r="H89">
        <v>3</v>
      </c>
      <c r="I89">
        <v>7</v>
      </c>
      <c r="J89">
        <v>24</v>
      </c>
      <c r="K89">
        <v>14</v>
      </c>
      <c r="L89">
        <v>26</v>
      </c>
      <c r="M89">
        <v>20</v>
      </c>
      <c r="N89">
        <v>24</v>
      </c>
      <c r="O89">
        <v>0</v>
      </c>
      <c r="P89">
        <v>0</v>
      </c>
      <c r="Q89">
        <v>0</v>
      </c>
      <c r="R89">
        <v>0</v>
      </c>
    </row>
    <row r="90" spans="3:18">
      <c r="C90">
        <v>0</v>
      </c>
      <c r="D90">
        <v>0</v>
      </c>
      <c r="E90">
        <v>0</v>
      </c>
      <c r="F90">
        <v>0</v>
      </c>
      <c r="G90">
        <v>1</v>
      </c>
      <c r="H90">
        <v>15</v>
      </c>
      <c r="I90">
        <v>25</v>
      </c>
      <c r="J90">
        <v>8</v>
      </c>
      <c r="K90">
        <v>10</v>
      </c>
      <c r="L90">
        <v>17</v>
      </c>
      <c r="M90">
        <v>27</v>
      </c>
      <c r="N90">
        <v>13</v>
      </c>
      <c r="O90">
        <v>15</v>
      </c>
      <c r="P90">
        <v>0</v>
      </c>
      <c r="Q90">
        <v>0</v>
      </c>
      <c r="R90">
        <v>0</v>
      </c>
    </row>
    <row r="91" spans="3:18">
      <c r="C91">
        <v>0</v>
      </c>
      <c r="D91">
        <v>0</v>
      </c>
      <c r="E91">
        <v>0</v>
      </c>
      <c r="F91">
        <v>0</v>
      </c>
      <c r="G91">
        <v>0</v>
      </c>
      <c r="H91">
        <v>1</v>
      </c>
      <c r="I91">
        <v>14</v>
      </c>
      <c r="J91">
        <v>21</v>
      </c>
      <c r="K91">
        <v>28</v>
      </c>
      <c r="L91">
        <v>15</v>
      </c>
      <c r="M91">
        <v>19</v>
      </c>
      <c r="N91">
        <v>20</v>
      </c>
      <c r="O91">
        <v>23</v>
      </c>
      <c r="P91">
        <v>14</v>
      </c>
      <c r="Q91">
        <v>0</v>
      </c>
      <c r="R91">
        <v>0</v>
      </c>
    </row>
    <row r="92" spans="3:18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5</v>
      </c>
      <c r="J92">
        <v>27</v>
      </c>
      <c r="K92">
        <v>27</v>
      </c>
      <c r="L92">
        <v>4</v>
      </c>
      <c r="M92">
        <v>25</v>
      </c>
      <c r="N92">
        <v>17</v>
      </c>
      <c r="O92">
        <v>11</v>
      </c>
      <c r="P92">
        <v>24</v>
      </c>
      <c r="Q92">
        <v>1</v>
      </c>
      <c r="R92">
        <v>0</v>
      </c>
    </row>
    <row r="93" spans="3:18"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9</v>
      </c>
      <c r="J93">
        <v>12</v>
      </c>
      <c r="K93">
        <v>4</v>
      </c>
      <c r="L93">
        <v>2</v>
      </c>
      <c r="M93">
        <v>21</v>
      </c>
      <c r="N93">
        <v>17</v>
      </c>
      <c r="O93">
        <v>25</v>
      </c>
      <c r="P93">
        <v>4</v>
      </c>
      <c r="Q93">
        <v>0</v>
      </c>
      <c r="R93">
        <v>1</v>
      </c>
    </row>
    <row r="96" spans="3:18">
      <c r="C96">
        <v>1</v>
      </c>
      <c r="D96">
        <v>8</v>
      </c>
      <c r="E96">
        <v>21</v>
      </c>
      <c r="F96">
        <v>0</v>
      </c>
      <c r="G96">
        <v>24</v>
      </c>
      <c r="H96">
        <v>15</v>
      </c>
      <c r="I96">
        <v>0</v>
      </c>
      <c r="J96">
        <v>10</v>
      </c>
      <c r="K96">
        <v>4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3:18">
      <c r="C97">
        <v>0</v>
      </c>
      <c r="D97">
        <v>1</v>
      </c>
      <c r="E97">
        <v>12</v>
      </c>
      <c r="F97">
        <v>28</v>
      </c>
      <c r="G97">
        <v>4</v>
      </c>
      <c r="H97">
        <v>2</v>
      </c>
      <c r="I97">
        <v>16</v>
      </c>
      <c r="J97">
        <v>19</v>
      </c>
      <c r="K97">
        <v>14</v>
      </c>
      <c r="L97">
        <v>23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3:18">
      <c r="C98">
        <v>0</v>
      </c>
      <c r="D98">
        <v>0</v>
      </c>
      <c r="E98">
        <v>1</v>
      </c>
      <c r="F98">
        <v>19</v>
      </c>
      <c r="G98">
        <v>9</v>
      </c>
      <c r="H98">
        <v>2</v>
      </c>
      <c r="I98">
        <v>26</v>
      </c>
      <c r="J98">
        <v>27</v>
      </c>
      <c r="K98">
        <v>15</v>
      </c>
      <c r="L98">
        <v>17</v>
      </c>
      <c r="M98">
        <v>16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3:18">
      <c r="C99">
        <v>0</v>
      </c>
      <c r="D99">
        <v>0</v>
      </c>
      <c r="E99">
        <v>0</v>
      </c>
      <c r="F99">
        <v>1</v>
      </c>
      <c r="G99">
        <v>0</v>
      </c>
      <c r="H99">
        <v>3</v>
      </c>
      <c r="I99">
        <v>7</v>
      </c>
      <c r="J99">
        <v>24</v>
      </c>
      <c r="K99">
        <v>14</v>
      </c>
      <c r="L99">
        <v>26</v>
      </c>
      <c r="M99">
        <v>20</v>
      </c>
      <c r="N99">
        <v>24</v>
      </c>
      <c r="O99">
        <v>0</v>
      </c>
      <c r="P99">
        <v>0</v>
      </c>
      <c r="Q99">
        <v>0</v>
      </c>
      <c r="R99">
        <v>0</v>
      </c>
    </row>
    <row r="100" spans="3:18">
      <c r="C100">
        <v>0</v>
      </c>
      <c r="D100">
        <v>0</v>
      </c>
      <c r="E100">
        <v>0</v>
      </c>
      <c r="F100">
        <v>0</v>
      </c>
      <c r="G100">
        <v>1</v>
      </c>
      <c r="H100">
        <v>15</v>
      </c>
      <c r="I100">
        <v>25</v>
      </c>
      <c r="J100">
        <v>8</v>
      </c>
      <c r="K100">
        <v>10</v>
      </c>
      <c r="L100">
        <v>17</v>
      </c>
      <c r="M100">
        <v>27</v>
      </c>
      <c r="N100">
        <v>13</v>
      </c>
      <c r="O100">
        <v>15</v>
      </c>
      <c r="P100">
        <v>0</v>
      </c>
      <c r="Q100">
        <v>0</v>
      </c>
      <c r="R100">
        <v>0</v>
      </c>
    </row>
    <row r="101" spans="3:18">
      <c r="C101">
        <v>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14</v>
      </c>
      <c r="J101">
        <v>21</v>
      </c>
      <c r="K101">
        <v>28</v>
      </c>
      <c r="L101">
        <v>15</v>
      </c>
      <c r="M101">
        <v>19</v>
      </c>
      <c r="N101">
        <v>20</v>
      </c>
      <c r="O101">
        <v>23</v>
      </c>
      <c r="P101">
        <v>14</v>
      </c>
      <c r="Q101">
        <v>0</v>
      </c>
      <c r="R101">
        <v>0</v>
      </c>
    </row>
    <row r="102" spans="3:18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1</v>
      </c>
      <c r="J102">
        <v>17</v>
      </c>
      <c r="K102">
        <v>17</v>
      </c>
      <c r="L102">
        <v>24</v>
      </c>
      <c r="M102">
        <v>5</v>
      </c>
      <c r="N102">
        <v>15</v>
      </c>
      <c r="O102">
        <v>8</v>
      </c>
      <c r="P102">
        <v>28</v>
      </c>
      <c r="Q102">
        <v>6</v>
      </c>
      <c r="R102">
        <v>0</v>
      </c>
    </row>
    <row r="103" spans="3:18"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4</v>
      </c>
      <c r="K103">
        <v>25</v>
      </c>
      <c r="L103">
        <v>18</v>
      </c>
      <c r="M103">
        <v>5</v>
      </c>
      <c r="N103">
        <v>27</v>
      </c>
      <c r="O103">
        <v>11</v>
      </c>
      <c r="P103">
        <v>13</v>
      </c>
      <c r="Q103">
        <v>4</v>
      </c>
      <c r="R103">
        <v>1</v>
      </c>
    </row>
    <row r="106" spans="3:18">
      <c r="C106">
        <v>1</v>
      </c>
      <c r="D106">
        <v>8</v>
      </c>
      <c r="E106">
        <v>21</v>
      </c>
      <c r="F106">
        <v>0</v>
      </c>
      <c r="G106">
        <v>24</v>
      </c>
      <c r="H106">
        <v>15</v>
      </c>
      <c r="I106">
        <v>0</v>
      </c>
      <c r="J106">
        <v>10</v>
      </c>
      <c r="K106" s="12">
        <v>4</v>
      </c>
      <c r="L106" s="10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3:18">
      <c r="C107">
        <v>0</v>
      </c>
      <c r="D107">
        <v>1</v>
      </c>
      <c r="E107">
        <v>12</v>
      </c>
      <c r="F107">
        <v>28</v>
      </c>
      <c r="G107">
        <v>4</v>
      </c>
      <c r="H107">
        <v>2</v>
      </c>
      <c r="I107">
        <v>16</v>
      </c>
      <c r="J107">
        <v>19</v>
      </c>
      <c r="K107" s="12">
        <v>14</v>
      </c>
      <c r="L107" s="10">
        <v>23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3:18">
      <c r="C108">
        <v>0</v>
      </c>
      <c r="D108">
        <v>0</v>
      </c>
      <c r="E108">
        <v>1</v>
      </c>
      <c r="F108">
        <v>19</v>
      </c>
      <c r="G108">
        <v>9</v>
      </c>
      <c r="H108">
        <v>2</v>
      </c>
      <c r="I108">
        <v>26</v>
      </c>
      <c r="J108">
        <v>27</v>
      </c>
      <c r="K108" s="12">
        <v>15</v>
      </c>
      <c r="L108" s="10">
        <v>17</v>
      </c>
      <c r="M108">
        <v>16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3:18">
      <c r="C109">
        <v>0</v>
      </c>
      <c r="D109">
        <v>0</v>
      </c>
      <c r="E109">
        <v>0</v>
      </c>
      <c r="F109">
        <v>1</v>
      </c>
      <c r="G109">
        <v>0</v>
      </c>
      <c r="H109">
        <v>3</v>
      </c>
      <c r="I109">
        <v>7</v>
      </c>
      <c r="J109">
        <v>24</v>
      </c>
      <c r="K109" s="12">
        <v>14</v>
      </c>
      <c r="L109" s="10">
        <v>26</v>
      </c>
      <c r="M109">
        <v>20</v>
      </c>
      <c r="N109">
        <v>24</v>
      </c>
      <c r="O109">
        <v>0</v>
      </c>
      <c r="P109">
        <v>0</v>
      </c>
      <c r="Q109">
        <v>0</v>
      </c>
      <c r="R109">
        <v>0</v>
      </c>
    </row>
    <row r="110" spans="3:18">
      <c r="C110">
        <v>0</v>
      </c>
      <c r="D110">
        <v>0</v>
      </c>
      <c r="E110">
        <v>0</v>
      </c>
      <c r="F110">
        <v>0</v>
      </c>
      <c r="G110">
        <v>1</v>
      </c>
      <c r="H110">
        <v>15</v>
      </c>
      <c r="I110">
        <v>25</v>
      </c>
      <c r="J110">
        <v>8</v>
      </c>
      <c r="K110" s="12">
        <v>10</v>
      </c>
      <c r="L110" s="10">
        <v>17</v>
      </c>
      <c r="M110">
        <v>27</v>
      </c>
      <c r="N110">
        <v>13</v>
      </c>
      <c r="O110">
        <v>15</v>
      </c>
      <c r="P110">
        <v>0</v>
      </c>
      <c r="Q110">
        <v>0</v>
      </c>
      <c r="R110">
        <v>0</v>
      </c>
    </row>
    <row r="111" spans="3:18">
      <c r="C111">
        <v>0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14</v>
      </c>
      <c r="J111">
        <v>21</v>
      </c>
      <c r="K111" s="12">
        <v>28</v>
      </c>
      <c r="L111" s="10">
        <v>15</v>
      </c>
      <c r="M111">
        <v>19</v>
      </c>
      <c r="N111">
        <v>20</v>
      </c>
      <c r="O111">
        <v>23</v>
      </c>
      <c r="P111">
        <v>14</v>
      </c>
      <c r="Q111">
        <v>0</v>
      </c>
      <c r="R111">
        <v>0</v>
      </c>
    </row>
    <row r="112" spans="3:18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1</v>
      </c>
      <c r="J112">
        <v>17</v>
      </c>
      <c r="K112" s="12">
        <v>17</v>
      </c>
      <c r="L112" s="10">
        <v>24</v>
      </c>
      <c r="M112">
        <v>5</v>
      </c>
      <c r="N112">
        <v>15</v>
      </c>
      <c r="O112">
        <v>8</v>
      </c>
      <c r="P112">
        <v>28</v>
      </c>
      <c r="Q112">
        <v>6</v>
      </c>
      <c r="R112">
        <v>0</v>
      </c>
    </row>
    <row r="113" spans="3:18"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 s="12">
        <v>28</v>
      </c>
      <c r="L113" s="10">
        <v>19</v>
      </c>
      <c r="M113">
        <v>23</v>
      </c>
      <c r="N113">
        <v>14</v>
      </c>
      <c r="O113">
        <v>10</v>
      </c>
      <c r="P113">
        <v>25</v>
      </c>
      <c r="Q113">
        <v>1</v>
      </c>
      <c r="R113">
        <v>22</v>
      </c>
    </row>
    <row r="146" spans="3:18">
      <c r="C146" s="1">
        <v>1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1">
        <v>13</v>
      </c>
      <c r="L146" s="11">
        <v>16</v>
      </c>
      <c r="M146" s="11">
        <v>15</v>
      </c>
      <c r="N146" s="11">
        <v>9</v>
      </c>
      <c r="O146" s="11">
        <v>3</v>
      </c>
      <c r="P146" s="11">
        <v>21</v>
      </c>
      <c r="Q146" s="11">
        <v>0</v>
      </c>
      <c r="R146" s="11">
        <v>2</v>
      </c>
    </row>
    <row r="147" spans="3:18">
      <c r="C147" s="1">
        <v>0</v>
      </c>
      <c r="D147" s="1">
        <v>1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1">
        <v>28</v>
      </c>
      <c r="L147" s="11">
        <v>8</v>
      </c>
      <c r="M147" s="11">
        <v>16</v>
      </c>
      <c r="N147" s="11">
        <v>18</v>
      </c>
      <c r="O147" s="11">
        <v>8</v>
      </c>
      <c r="P147" s="11">
        <v>15</v>
      </c>
      <c r="Q147" s="11">
        <v>28</v>
      </c>
      <c r="R147" s="11">
        <v>18</v>
      </c>
    </row>
    <row r="148" spans="3:18">
      <c r="C148" s="1">
        <v>0</v>
      </c>
      <c r="D148" s="1">
        <v>0</v>
      </c>
      <c r="E148" s="1">
        <v>1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1">
        <v>18</v>
      </c>
      <c r="L148" s="11">
        <v>4</v>
      </c>
      <c r="M148" s="11">
        <v>26</v>
      </c>
      <c r="N148" s="11">
        <v>13</v>
      </c>
      <c r="O148" s="11">
        <v>18</v>
      </c>
      <c r="P148" s="11">
        <v>14</v>
      </c>
      <c r="Q148" s="11">
        <v>21</v>
      </c>
      <c r="R148" s="11">
        <v>10</v>
      </c>
    </row>
    <row r="149" spans="3:18">
      <c r="C149" s="1">
        <v>0</v>
      </c>
      <c r="D149" s="1">
        <v>0</v>
      </c>
      <c r="E149" s="1">
        <v>0</v>
      </c>
      <c r="F149" s="1">
        <v>1</v>
      </c>
      <c r="G149" s="1">
        <v>0</v>
      </c>
      <c r="H149" s="1">
        <v>0</v>
      </c>
      <c r="I149" s="1">
        <v>0</v>
      </c>
      <c r="J149" s="1">
        <v>0</v>
      </c>
      <c r="K149" s="11">
        <v>8</v>
      </c>
      <c r="L149" s="11">
        <v>1</v>
      </c>
      <c r="M149" s="11">
        <v>23</v>
      </c>
      <c r="N149" s="11">
        <v>13</v>
      </c>
      <c r="O149" s="11">
        <v>16</v>
      </c>
      <c r="P149" s="11">
        <v>1</v>
      </c>
      <c r="Q149" s="11">
        <v>2</v>
      </c>
      <c r="R149" s="11">
        <v>6</v>
      </c>
    </row>
    <row r="150" spans="3:18">
      <c r="C150" s="1">
        <v>0</v>
      </c>
      <c r="D150" s="1">
        <v>0</v>
      </c>
      <c r="E150" s="1">
        <v>0</v>
      </c>
      <c r="F150" s="1">
        <v>0</v>
      </c>
      <c r="G150" s="1">
        <v>1</v>
      </c>
      <c r="H150" s="1">
        <v>0</v>
      </c>
      <c r="I150" s="1">
        <v>0</v>
      </c>
      <c r="J150" s="1">
        <v>0</v>
      </c>
      <c r="K150" s="11">
        <v>5</v>
      </c>
      <c r="L150" s="11">
        <v>16</v>
      </c>
      <c r="M150" s="11">
        <v>5</v>
      </c>
      <c r="N150" s="11">
        <v>21</v>
      </c>
      <c r="O150" s="11">
        <v>1</v>
      </c>
      <c r="P150" s="11">
        <v>24</v>
      </c>
      <c r="Q150" s="11">
        <v>12</v>
      </c>
      <c r="R150" s="11">
        <v>1</v>
      </c>
    </row>
    <row r="151" spans="3:18"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1</v>
      </c>
      <c r="I151" s="1">
        <v>0</v>
      </c>
      <c r="J151" s="1">
        <v>0</v>
      </c>
      <c r="K151" s="11">
        <v>8</v>
      </c>
      <c r="L151" s="11">
        <v>3</v>
      </c>
      <c r="M151" s="11">
        <v>10</v>
      </c>
      <c r="N151" s="11">
        <v>6</v>
      </c>
      <c r="O151" s="11">
        <v>22</v>
      </c>
      <c r="P151" s="11">
        <v>1</v>
      </c>
      <c r="Q151" s="11">
        <v>17</v>
      </c>
      <c r="R151" s="11">
        <v>18</v>
      </c>
    </row>
    <row r="152" spans="3:18"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1</v>
      </c>
      <c r="J152" s="1">
        <v>0</v>
      </c>
      <c r="K152" s="11">
        <v>5</v>
      </c>
      <c r="L152" s="11">
        <v>20</v>
      </c>
      <c r="M152" s="11">
        <v>20</v>
      </c>
      <c r="N152" s="11">
        <v>9</v>
      </c>
      <c r="O152" s="11">
        <v>12</v>
      </c>
      <c r="P152" s="11">
        <v>9</v>
      </c>
      <c r="Q152" s="11">
        <v>18</v>
      </c>
      <c r="R152" s="11">
        <v>3</v>
      </c>
    </row>
    <row r="153" spans="3:18"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1</v>
      </c>
      <c r="K153" s="11">
        <v>28</v>
      </c>
      <c r="L153" s="11">
        <v>19</v>
      </c>
      <c r="M153" s="11">
        <v>23</v>
      </c>
      <c r="N153" s="11">
        <v>14</v>
      </c>
      <c r="O153" s="11">
        <v>10</v>
      </c>
      <c r="P153" s="11">
        <v>25</v>
      </c>
      <c r="Q153" s="11">
        <v>1</v>
      </c>
      <c r="R153" s="11">
        <v>22</v>
      </c>
    </row>
    <row r="156" spans="3:18">
      <c r="C156">
        <v>1</v>
      </c>
      <c r="D156">
        <v>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5</v>
      </c>
      <c r="L156">
        <v>22</v>
      </c>
      <c r="M156">
        <v>27</v>
      </c>
      <c r="N156">
        <v>8</v>
      </c>
      <c r="O156">
        <v>9</v>
      </c>
      <c r="P156">
        <v>25</v>
      </c>
      <c r="Q156">
        <v>21</v>
      </c>
      <c r="R156">
        <v>1</v>
      </c>
    </row>
    <row r="157" spans="3:18">
      <c r="C157">
        <v>0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28</v>
      </c>
      <c r="L157">
        <v>8</v>
      </c>
      <c r="M157">
        <v>16</v>
      </c>
      <c r="N157">
        <v>18</v>
      </c>
      <c r="O157">
        <v>8</v>
      </c>
      <c r="P157">
        <v>15</v>
      </c>
      <c r="Q157">
        <v>28</v>
      </c>
      <c r="R157">
        <v>18</v>
      </c>
    </row>
    <row r="158" spans="3:18"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18</v>
      </c>
      <c r="L158">
        <v>4</v>
      </c>
      <c r="M158">
        <v>26</v>
      </c>
      <c r="N158">
        <v>13</v>
      </c>
      <c r="O158">
        <v>18</v>
      </c>
      <c r="P158">
        <v>14</v>
      </c>
      <c r="Q158">
        <v>21</v>
      </c>
      <c r="R158">
        <v>10</v>
      </c>
    </row>
    <row r="159" spans="3:18">
      <c r="C159">
        <v>0</v>
      </c>
      <c r="D159">
        <v>0</v>
      </c>
      <c r="E159">
        <v>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8</v>
      </c>
      <c r="L159">
        <v>1</v>
      </c>
      <c r="M159">
        <v>23</v>
      </c>
      <c r="N159">
        <v>13</v>
      </c>
      <c r="O159">
        <v>16</v>
      </c>
      <c r="P159">
        <v>1</v>
      </c>
      <c r="Q159">
        <v>2</v>
      </c>
      <c r="R159">
        <v>6</v>
      </c>
    </row>
    <row r="160" spans="3:18">
      <c r="C160">
        <v>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5</v>
      </c>
      <c r="L160">
        <v>16</v>
      </c>
      <c r="M160">
        <v>5</v>
      </c>
      <c r="N160">
        <v>21</v>
      </c>
      <c r="O160">
        <v>1</v>
      </c>
      <c r="P160">
        <v>24</v>
      </c>
      <c r="Q160">
        <v>12</v>
      </c>
      <c r="R160">
        <v>1</v>
      </c>
    </row>
    <row r="161" spans="3:18">
      <c r="C161">
        <v>0</v>
      </c>
      <c r="D161">
        <v>0</v>
      </c>
      <c r="E161">
        <v>0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8</v>
      </c>
      <c r="L161">
        <v>3</v>
      </c>
      <c r="M161">
        <v>10</v>
      </c>
      <c r="N161">
        <v>6</v>
      </c>
      <c r="O161">
        <v>22</v>
      </c>
      <c r="P161">
        <v>1</v>
      </c>
      <c r="Q161">
        <v>17</v>
      </c>
      <c r="R161">
        <v>18</v>
      </c>
    </row>
    <row r="162" spans="3:18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5</v>
      </c>
      <c r="L162">
        <v>20</v>
      </c>
      <c r="M162">
        <v>20</v>
      </c>
      <c r="N162">
        <v>9</v>
      </c>
      <c r="O162">
        <v>12</v>
      </c>
      <c r="P162">
        <v>9</v>
      </c>
      <c r="Q162">
        <v>18</v>
      </c>
      <c r="R162">
        <v>3</v>
      </c>
    </row>
    <row r="163" spans="3:18"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1</v>
      </c>
      <c r="K163">
        <v>28</v>
      </c>
      <c r="L163">
        <v>19</v>
      </c>
      <c r="M163">
        <v>23</v>
      </c>
      <c r="N163">
        <v>14</v>
      </c>
      <c r="O163">
        <v>10</v>
      </c>
      <c r="P163">
        <v>25</v>
      </c>
      <c r="Q163">
        <v>1</v>
      </c>
      <c r="R163">
        <v>22</v>
      </c>
    </row>
    <row r="166" spans="3:18">
      <c r="C166">
        <v>1</v>
      </c>
      <c r="D166">
        <v>8</v>
      </c>
      <c r="E166">
        <v>21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6</v>
      </c>
      <c r="L166">
        <v>19</v>
      </c>
      <c r="M166">
        <v>22</v>
      </c>
      <c r="N166">
        <v>20</v>
      </c>
      <c r="O166">
        <v>10</v>
      </c>
      <c r="P166">
        <v>0</v>
      </c>
      <c r="Q166">
        <v>27</v>
      </c>
      <c r="R166">
        <v>8</v>
      </c>
    </row>
    <row r="167" spans="3:18">
      <c r="C167">
        <v>0</v>
      </c>
      <c r="D167">
        <v>1</v>
      </c>
      <c r="E167">
        <v>12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12</v>
      </c>
      <c r="L167">
        <v>27</v>
      </c>
      <c r="M167">
        <v>9</v>
      </c>
      <c r="N167">
        <v>0</v>
      </c>
      <c r="O167">
        <v>21</v>
      </c>
      <c r="P167">
        <v>9</v>
      </c>
      <c r="Q167">
        <v>19</v>
      </c>
      <c r="R167">
        <v>22</v>
      </c>
    </row>
    <row r="168" spans="3:18"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18</v>
      </c>
      <c r="L168">
        <v>4</v>
      </c>
      <c r="M168">
        <v>26</v>
      </c>
      <c r="N168">
        <v>13</v>
      </c>
      <c r="O168">
        <v>18</v>
      </c>
      <c r="P168">
        <v>14</v>
      </c>
      <c r="Q168">
        <v>21</v>
      </c>
      <c r="R168">
        <v>10</v>
      </c>
    </row>
    <row r="169" spans="3:18">
      <c r="C169">
        <v>0</v>
      </c>
      <c r="D169">
        <v>0</v>
      </c>
      <c r="E169">
        <v>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8</v>
      </c>
      <c r="L169">
        <v>1</v>
      </c>
      <c r="M169">
        <v>23</v>
      </c>
      <c r="N169">
        <v>13</v>
      </c>
      <c r="O169">
        <v>16</v>
      </c>
      <c r="P169">
        <v>1</v>
      </c>
      <c r="Q169">
        <v>2</v>
      </c>
      <c r="R169">
        <v>6</v>
      </c>
    </row>
    <row r="170" spans="3:18">
      <c r="C170">
        <v>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5</v>
      </c>
      <c r="L170">
        <v>16</v>
      </c>
      <c r="M170">
        <v>5</v>
      </c>
      <c r="N170">
        <v>21</v>
      </c>
      <c r="O170">
        <v>1</v>
      </c>
      <c r="P170">
        <v>24</v>
      </c>
      <c r="Q170">
        <v>12</v>
      </c>
      <c r="R170">
        <v>1</v>
      </c>
    </row>
    <row r="171" spans="3:18">
      <c r="C171">
        <v>0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8</v>
      </c>
      <c r="L171">
        <v>3</v>
      </c>
      <c r="M171">
        <v>10</v>
      </c>
      <c r="N171">
        <v>6</v>
      </c>
      <c r="O171">
        <v>22</v>
      </c>
      <c r="P171">
        <v>1</v>
      </c>
      <c r="Q171">
        <v>17</v>
      </c>
      <c r="R171">
        <v>18</v>
      </c>
    </row>
    <row r="172" spans="3:18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5</v>
      </c>
      <c r="L172">
        <v>20</v>
      </c>
      <c r="M172">
        <v>20</v>
      </c>
      <c r="N172">
        <v>9</v>
      </c>
      <c r="O172">
        <v>12</v>
      </c>
      <c r="P172">
        <v>9</v>
      </c>
      <c r="Q172">
        <v>18</v>
      </c>
      <c r="R172">
        <v>3</v>
      </c>
    </row>
    <row r="173" spans="3:18"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28</v>
      </c>
      <c r="L173">
        <v>19</v>
      </c>
      <c r="M173">
        <v>23</v>
      </c>
      <c r="N173">
        <v>14</v>
      </c>
      <c r="O173">
        <v>10</v>
      </c>
      <c r="P173">
        <v>25</v>
      </c>
      <c r="Q173">
        <v>1</v>
      </c>
      <c r="R173">
        <v>22</v>
      </c>
    </row>
    <row r="176" spans="3:18">
      <c r="C176">
        <v>1</v>
      </c>
      <c r="D176">
        <v>8</v>
      </c>
      <c r="E176">
        <v>21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6</v>
      </c>
      <c r="L176">
        <v>19</v>
      </c>
      <c r="M176">
        <v>22</v>
      </c>
      <c r="N176">
        <v>20</v>
      </c>
      <c r="O176">
        <v>10</v>
      </c>
      <c r="P176">
        <v>0</v>
      </c>
      <c r="Q176">
        <v>27</v>
      </c>
      <c r="R176">
        <v>8</v>
      </c>
    </row>
    <row r="177" spans="3:18">
      <c r="C177">
        <v>0</v>
      </c>
      <c r="D177">
        <v>1</v>
      </c>
      <c r="E177">
        <v>12</v>
      </c>
      <c r="F177">
        <v>28</v>
      </c>
      <c r="G177">
        <v>0</v>
      </c>
      <c r="H177">
        <v>0</v>
      </c>
      <c r="I177">
        <v>0</v>
      </c>
      <c r="J177">
        <v>0</v>
      </c>
      <c r="K177">
        <v>4</v>
      </c>
      <c r="L177">
        <v>26</v>
      </c>
      <c r="M177">
        <v>15</v>
      </c>
      <c r="N177">
        <v>16</v>
      </c>
      <c r="O177">
        <v>5</v>
      </c>
      <c r="P177">
        <v>8</v>
      </c>
      <c r="Q177">
        <v>17</v>
      </c>
      <c r="R177">
        <v>16</v>
      </c>
    </row>
    <row r="178" spans="3:18">
      <c r="C178">
        <v>0</v>
      </c>
      <c r="D178">
        <v>0</v>
      </c>
      <c r="E178">
        <v>1</v>
      </c>
      <c r="F178">
        <v>19</v>
      </c>
      <c r="G178">
        <v>0</v>
      </c>
      <c r="H178">
        <v>0</v>
      </c>
      <c r="I178">
        <v>0</v>
      </c>
      <c r="J178">
        <v>0</v>
      </c>
      <c r="K178">
        <v>25</v>
      </c>
      <c r="L178">
        <v>23</v>
      </c>
      <c r="M178">
        <v>28</v>
      </c>
      <c r="N178">
        <v>28</v>
      </c>
      <c r="O178">
        <v>3</v>
      </c>
      <c r="P178">
        <v>4</v>
      </c>
      <c r="Q178">
        <v>1</v>
      </c>
      <c r="R178">
        <v>8</v>
      </c>
    </row>
    <row r="179" spans="3:18"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8</v>
      </c>
      <c r="L179">
        <v>1</v>
      </c>
      <c r="M179">
        <v>23</v>
      </c>
      <c r="N179">
        <v>13</v>
      </c>
      <c r="O179">
        <v>16</v>
      </c>
      <c r="P179">
        <v>1</v>
      </c>
      <c r="Q179">
        <v>2</v>
      </c>
      <c r="R179">
        <v>6</v>
      </c>
    </row>
    <row r="180" spans="3:18">
      <c r="C180">
        <v>0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5</v>
      </c>
      <c r="L180">
        <v>16</v>
      </c>
      <c r="M180">
        <v>5</v>
      </c>
      <c r="N180">
        <v>21</v>
      </c>
      <c r="O180">
        <v>1</v>
      </c>
      <c r="P180">
        <v>24</v>
      </c>
      <c r="Q180">
        <v>12</v>
      </c>
      <c r="R180">
        <v>1</v>
      </c>
    </row>
    <row r="181" spans="3:18">
      <c r="C181">
        <v>0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8</v>
      </c>
      <c r="L181">
        <v>3</v>
      </c>
      <c r="M181">
        <v>10</v>
      </c>
      <c r="N181">
        <v>6</v>
      </c>
      <c r="O181">
        <v>22</v>
      </c>
      <c r="P181">
        <v>1</v>
      </c>
      <c r="Q181">
        <v>17</v>
      </c>
      <c r="R181">
        <v>18</v>
      </c>
    </row>
    <row r="182" spans="3:18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</v>
      </c>
      <c r="J182">
        <v>0</v>
      </c>
      <c r="K182">
        <v>5</v>
      </c>
      <c r="L182">
        <v>20</v>
      </c>
      <c r="M182">
        <v>20</v>
      </c>
      <c r="N182">
        <v>9</v>
      </c>
      <c r="O182">
        <v>12</v>
      </c>
      <c r="P182">
        <v>9</v>
      </c>
      <c r="Q182">
        <v>18</v>
      </c>
      <c r="R182">
        <v>3</v>
      </c>
    </row>
    <row r="183" spans="3:18"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28</v>
      </c>
      <c r="L183">
        <v>19</v>
      </c>
      <c r="M183">
        <v>23</v>
      </c>
      <c r="N183">
        <v>14</v>
      </c>
      <c r="O183">
        <v>10</v>
      </c>
      <c r="P183">
        <v>25</v>
      </c>
      <c r="Q183">
        <v>1</v>
      </c>
      <c r="R183">
        <v>22</v>
      </c>
    </row>
    <row r="186" spans="3:18">
      <c r="C186">
        <v>1</v>
      </c>
      <c r="D186">
        <v>8</v>
      </c>
      <c r="E186">
        <v>21</v>
      </c>
      <c r="F186">
        <v>0</v>
      </c>
      <c r="G186">
        <v>24</v>
      </c>
      <c r="H186">
        <v>0</v>
      </c>
      <c r="I186">
        <v>0</v>
      </c>
      <c r="J186">
        <v>0</v>
      </c>
      <c r="K186">
        <v>10</v>
      </c>
      <c r="L186">
        <v>26</v>
      </c>
      <c r="M186">
        <v>26</v>
      </c>
      <c r="N186">
        <v>2</v>
      </c>
      <c r="O186">
        <v>5</v>
      </c>
      <c r="P186">
        <v>25</v>
      </c>
      <c r="Q186">
        <v>25</v>
      </c>
      <c r="R186">
        <v>3</v>
      </c>
    </row>
    <row r="187" spans="3:18">
      <c r="C187">
        <v>0</v>
      </c>
      <c r="D187">
        <v>1</v>
      </c>
      <c r="E187">
        <v>12</v>
      </c>
      <c r="F187">
        <v>28</v>
      </c>
      <c r="G187">
        <v>4</v>
      </c>
      <c r="H187">
        <v>0</v>
      </c>
      <c r="I187">
        <v>0</v>
      </c>
      <c r="J187">
        <v>0</v>
      </c>
      <c r="K187">
        <v>24</v>
      </c>
      <c r="L187">
        <v>3</v>
      </c>
      <c r="M187">
        <v>6</v>
      </c>
      <c r="N187">
        <v>13</v>
      </c>
      <c r="O187">
        <v>9</v>
      </c>
      <c r="P187">
        <v>17</v>
      </c>
      <c r="Q187">
        <v>7</v>
      </c>
      <c r="R187">
        <v>20</v>
      </c>
    </row>
    <row r="188" spans="3:18">
      <c r="C188">
        <v>0</v>
      </c>
      <c r="D188">
        <v>0</v>
      </c>
      <c r="E188">
        <v>1</v>
      </c>
      <c r="F188">
        <v>19</v>
      </c>
      <c r="G188">
        <v>9</v>
      </c>
      <c r="H188">
        <v>0</v>
      </c>
      <c r="I188">
        <v>0</v>
      </c>
      <c r="J188">
        <v>0</v>
      </c>
      <c r="K188">
        <v>12</v>
      </c>
      <c r="L188">
        <v>22</v>
      </c>
      <c r="M188">
        <v>15</v>
      </c>
      <c r="N188">
        <v>14</v>
      </c>
      <c r="O188">
        <v>12</v>
      </c>
      <c r="P188">
        <v>17</v>
      </c>
      <c r="Q188">
        <v>22</v>
      </c>
      <c r="R188">
        <v>17</v>
      </c>
    </row>
    <row r="189" spans="3:18"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8</v>
      </c>
      <c r="L189">
        <v>1</v>
      </c>
      <c r="M189">
        <v>23</v>
      </c>
      <c r="N189">
        <v>13</v>
      </c>
      <c r="O189">
        <v>16</v>
      </c>
      <c r="P189">
        <v>1</v>
      </c>
      <c r="Q189">
        <v>2</v>
      </c>
      <c r="R189">
        <v>6</v>
      </c>
    </row>
    <row r="190" spans="3:18">
      <c r="C190">
        <v>0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5</v>
      </c>
      <c r="L190">
        <v>16</v>
      </c>
      <c r="M190">
        <v>5</v>
      </c>
      <c r="N190">
        <v>21</v>
      </c>
      <c r="O190">
        <v>1</v>
      </c>
      <c r="P190">
        <v>24</v>
      </c>
      <c r="Q190">
        <v>12</v>
      </c>
      <c r="R190">
        <v>1</v>
      </c>
    </row>
    <row r="191" spans="3:18">
      <c r="C191">
        <v>0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8</v>
      </c>
      <c r="L191">
        <v>3</v>
      </c>
      <c r="M191">
        <v>10</v>
      </c>
      <c r="N191">
        <v>6</v>
      </c>
      <c r="O191">
        <v>22</v>
      </c>
      <c r="P191">
        <v>1</v>
      </c>
      <c r="Q191">
        <v>17</v>
      </c>
      <c r="R191">
        <v>18</v>
      </c>
    </row>
    <row r="192" spans="3:18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5</v>
      </c>
      <c r="L192">
        <v>20</v>
      </c>
      <c r="M192">
        <v>20</v>
      </c>
      <c r="N192">
        <v>9</v>
      </c>
      <c r="O192">
        <v>12</v>
      </c>
      <c r="P192">
        <v>9</v>
      </c>
      <c r="Q192">
        <v>18</v>
      </c>
      <c r="R192">
        <v>3</v>
      </c>
    </row>
    <row r="193" spans="3:18"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28</v>
      </c>
      <c r="L193">
        <v>19</v>
      </c>
      <c r="M193">
        <v>23</v>
      </c>
      <c r="N193">
        <v>14</v>
      </c>
      <c r="O193">
        <v>10</v>
      </c>
      <c r="P193">
        <v>25</v>
      </c>
      <c r="Q193">
        <v>1</v>
      </c>
      <c r="R193">
        <v>22</v>
      </c>
    </row>
    <row r="196" spans="3:18">
      <c r="C196">
        <v>1</v>
      </c>
      <c r="D196">
        <v>8</v>
      </c>
      <c r="E196">
        <v>21</v>
      </c>
      <c r="F196">
        <v>0</v>
      </c>
      <c r="G196">
        <v>24</v>
      </c>
      <c r="H196">
        <v>15</v>
      </c>
      <c r="I196">
        <v>0</v>
      </c>
      <c r="J196">
        <v>0</v>
      </c>
      <c r="K196">
        <v>14</v>
      </c>
      <c r="L196">
        <v>13</v>
      </c>
      <c r="M196">
        <v>2</v>
      </c>
      <c r="N196">
        <v>5</v>
      </c>
      <c r="O196">
        <v>16</v>
      </c>
      <c r="P196">
        <v>11</v>
      </c>
      <c r="Q196">
        <v>19</v>
      </c>
      <c r="R196">
        <v>12</v>
      </c>
    </row>
    <row r="197" spans="3:18">
      <c r="C197">
        <v>0</v>
      </c>
      <c r="D197">
        <v>1</v>
      </c>
      <c r="E197">
        <v>12</v>
      </c>
      <c r="F197">
        <v>28</v>
      </c>
      <c r="G197">
        <v>4</v>
      </c>
      <c r="H197">
        <v>2</v>
      </c>
      <c r="I197">
        <v>0</v>
      </c>
      <c r="J197">
        <v>0</v>
      </c>
      <c r="K197">
        <v>11</v>
      </c>
      <c r="L197">
        <v>9</v>
      </c>
      <c r="M197">
        <v>26</v>
      </c>
      <c r="N197">
        <v>25</v>
      </c>
      <c r="O197">
        <v>24</v>
      </c>
      <c r="P197">
        <v>19</v>
      </c>
      <c r="Q197">
        <v>12</v>
      </c>
      <c r="R197">
        <v>27</v>
      </c>
    </row>
    <row r="198" spans="3:18">
      <c r="C198">
        <v>0</v>
      </c>
      <c r="D198">
        <v>0</v>
      </c>
      <c r="E198">
        <v>1</v>
      </c>
      <c r="F198">
        <v>19</v>
      </c>
      <c r="G198">
        <v>9</v>
      </c>
      <c r="H198">
        <v>2</v>
      </c>
      <c r="I198">
        <v>0</v>
      </c>
      <c r="J198">
        <v>0</v>
      </c>
      <c r="K198">
        <v>28</v>
      </c>
      <c r="L198">
        <v>28</v>
      </c>
      <c r="M198">
        <v>6</v>
      </c>
      <c r="N198">
        <v>26</v>
      </c>
      <c r="O198">
        <v>27</v>
      </c>
      <c r="P198">
        <v>19</v>
      </c>
      <c r="Q198">
        <v>27</v>
      </c>
      <c r="R198">
        <v>24</v>
      </c>
    </row>
    <row r="199" spans="3:18">
      <c r="C199">
        <v>0</v>
      </c>
      <c r="D199">
        <v>0</v>
      </c>
      <c r="E199">
        <v>0</v>
      </c>
      <c r="F199">
        <v>1</v>
      </c>
      <c r="G199">
        <v>0</v>
      </c>
      <c r="H199">
        <v>3</v>
      </c>
      <c r="I199">
        <v>0</v>
      </c>
      <c r="J199">
        <v>0</v>
      </c>
      <c r="K199">
        <v>3</v>
      </c>
      <c r="L199">
        <v>10</v>
      </c>
      <c r="M199">
        <v>24</v>
      </c>
      <c r="N199">
        <v>2</v>
      </c>
      <c r="O199">
        <v>24</v>
      </c>
      <c r="P199">
        <v>4</v>
      </c>
      <c r="Q199">
        <v>24</v>
      </c>
      <c r="R199">
        <v>2</v>
      </c>
    </row>
    <row r="200" spans="3:18">
      <c r="C200">
        <v>0</v>
      </c>
      <c r="D200">
        <v>0</v>
      </c>
      <c r="E200">
        <v>0</v>
      </c>
      <c r="F200">
        <v>0</v>
      </c>
      <c r="G200">
        <v>1</v>
      </c>
      <c r="H200">
        <v>15</v>
      </c>
      <c r="I200">
        <v>0</v>
      </c>
      <c r="J200">
        <v>0</v>
      </c>
      <c r="K200">
        <v>9</v>
      </c>
      <c r="L200">
        <v>3</v>
      </c>
      <c r="M200">
        <v>10</v>
      </c>
      <c r="N200">
        <v>24</v>
      </c>
      <c r="O200">
        <v>12</v>
      </c>
      <c r="P200">
        <v>10</v>
      </c>
      <c r="Q200">
        <v>6</v>
      </c>
      <c r="R200">
        <v>10</v>
      </c>
    </row>
    <row r="201" spans="3:18">
      <c r="C201">
        <v>0</v>
      </c>
      <c r="D201">
        <v>0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8</v>
      </c>
      <c r="L201">
        <v>3</v>
      </c>
      <c r="M201">
        <v>10</v>
      </c>
      <c r="N201">
        <v>6</v>
      </c>
      <c r="O201">
        <v>22</v>
      </c>
      <c r="P201">
        <v>1</v>
      </c>
      <c r="Q201">
        <v>17</v>
      </c>
      <c r="R201">
        <v>18</v>
      </c>
    </row>
    <row r="202" spans="3:18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1</v>
      </c>
      <c r="J202">
        <v>0</v>
      </c>
      <c r="K202">
        <v>5</v>
      </c>
      <c r="L202">
        <v>20</v>
      </c>
      <c r="M202">
        <v>20</v>
      </c>
      <c r="N202">
        <v>9</v>
      </c>
      <c r="O202">
        <v>12</v>
      </c>
      <c r="P202">
        <v>9</v>
      </c>
      <c r="Q202">
        <v>18</v>
      </c>
      <c r="R202">
        <v>3</v>
      </c>
    </row>
    <row r="203" spans="3:18"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28</v>
      </c>
      <c r="L203">
        <v>19</v>
      </c>
      <c r="M203">
        <v>23</v>
      </c>
      <c r="N203">
        <v>14</v>
      </c>
      <c r="O203">
        <v>10</v>
      </c>
      <c r="P203">
        <v>25</v>
      </c>
      <c r="Q203">
        <v>1</v>
      </c>
      <c r="R203">
        <v>22</v>
      </c>
    </row>
    <row r="206" spans="3:18">
      <c r="C206">
        <v>1</v>
      </c>
      <c r="D206">
        <v>8</v>
      </c>
      <c r="E206">
        <v>21</v>
      </c>
      <c r="F206">
        <v>0</v>
      </c>
      <c r="G206">
        <v>24</v>
      </c>
      <c r="H206">
        <v>15</v>
      </c>
      <c r="I206">
        <v>0</v>
      </c>
      <c r="J206">
        <v>0</v>
      </c>
      <c r="K206">
        <v>14</v>
      </c>
      <c r="L206">
        <v>13</v>
      </c>
      <c r="M206">
        <v>2</v>
      </c>
      <c r="N206">
        <v>5</v>
      </c>
      <c r="O206">
        <v>16</v>
      </c>
      <c r="P206">
        <v>11</v>
      </c>
      <c r="Q206">
        <v>19</v>
      </c>
      <c r="R206">
        <v>12</v>
      </c>
    </row>
    <row r="207" spans="3:18">
      <c r="C207">
        <v>0</v>
      </c>
      <c r="D207">
        <v>1</v>
      </c>
      <c r="E207">
        <v>12</v>
      </c>
      <c r="F207">
        <v>28</v>
      </c>
      <c r="G207">
        <v>4</v>
      </c>
      <c r="H207">
        <v>2</v>
      </c>
      <c r="I207">
        <v>16</v>
      </c>
      <c r="J207">
        <v>0</v>
      </c>
      <c r="K207">
        <v>4</v>
      </c>
      <c r="L207">
        <v>10</v>
      </c>
      <c r="M207">
        <v>27</v>
      </c>
      <c r="N207">
        <v>24</v>
      </c>
      <c r="O207">
        <v>13</v>
      </c>
      <c r="P207">
        <v>18</v>
      </c>
      <c r="Q207">
        <v>10</v>
      </c>
      <c r="R207">
        <v>17</v>
      </c>
    </row>
    <row r="208" spans="3:18">
      <c r="C208">
        <v>0</v>
      </c>
      <c r="D208">
        <v>0</v>
      </c>
      <c r="E208">
        <v>1</v>
      </c>
      <c r="F208">
        <v>19</v>
      </c>
      <c r="G208">
        <v>9</v>
      </c>
      <c r="H208">
        <v>2</v>
      </c>
      <c r="I208">
        <v>26</v>
      </c>
      <c r="J208">
        <v>0</v>
      </c>
      <c r="K208">
        <v>13</v>
      </c>
      <c r="L208">
        <v>26</v>
      </c>
      <c r="M208">
        <v>4</v>
      </c>
      <c r="N208">
        <v>28</v>
      </c>
      <c r="O208">
        <v>20</v>
      </c>
      <c r="P208">
        <v>21</v>
      </c>
      <c r="Q208">
        <v>2</v>
      </c>
      <c r="R208">
        <v>15</v>
      </c>
    </row>
    <row r="209" spans="3:18">
      <c r="C209">
        <v>0</v>
      </c>
      <c r="D209">
        <v>0</v>
      </c>
      <c r="E209">
        <v>0</v>
      </c>
      <c r="F209">
        <v>1</v>
      </c>
      <c r="G209">
        <v>0</v>
      </c>
      <c r="H209">
        <v>3</v>
      </c>
      <c r="I209">
        <v>7</v>
      </c>
      <c r="J209">
        <v>0</v>
      </c>
      <c r="K209">
        <v>9</v>
      </c>
      <c r="L209">
        <v>5</v>
      </c>
      <c r="M209">
        <v>19</v>
      </c>
      <c r="N209">
        <v>7</v>
      </c>
      <c r="O209">
        <v>21</v>
      </c>
      <c r="P209">
        <v>9</v>
      </c>
      <c r="Q209">
        <v>5</v>
      </c>
      <c r="R209">
        <v>23</v>
      </c>
    </row>
    <row r="210" spans="3:18">
      <c r="C210">
        <v>0</v>
      </c>
      <c r="D210">
        <v>0</v>
      </c>
      <c r="E210">
        <v>0</v>
      </c>
      <c r="F210">
        <v>0</v>
      </c>
      <c r="G210">
        <v>1</v>
      </c>
      <c r="H210">
        <v>15</v>
      </c>
      <c r="I210">
        <v>25</v>
      </c>
      <c r="J210">
        <v>0</v>
      </c>
      <c r="K210">
        <v>18</v>
      </c>
      <c r="L210">
        <v>10</v>
      </c>
      <c r="M210">
        <v>17</v>
      </c>
      <c r="N210">
        <v>17</v>
      </c>
      <c r="O210">
        <v>22</v>
      </c>
      <c r="P210">
        <v>3</v>
      </c>
      <c r="Q210">
        <v>21</v>
      </c>
      <c r="R210">
        <v>27</v>
      </c>
    </row>
    <row r="211" spans="3:18">
      <c r="C211">
        <v>0</v>
      </c>
      <c r="D211">
        <v>0</v>
      </c>
      <c r="E211">
        <v>0</v>
      </c>
      <c r="F211">
        <v>0</v>
      </c>
      <c r="G211">
        <v>0</v>
      </c>
      <c r="H211">
        <v>1</v>
      </c>
      <c r="I211">
        <v>14</v>
      </c>
      <c r="J211">
        <v>0</v>
      </c>
      <c r="K211">
        <v>20</v>
      </c>
      <c r="L211">
        <v>22</v>
      </c>
      <c r="M211">
        <v>0</v>
      </c>
      <c r="N211">
        <v>16</v>
      </c>
      <c r="O211">
        <v>16</v>
      </c>
      <c r="P211">
        <v>11</v>
      </c>
      <c r="Q211">
        <v>8</v>
      </c>
      <c r="R211">
        <v>2</v>
      </c>
    </row>
    <row r="212" spans="3:18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1</v>
      </c>
      <c r="J212">
        <v>0</v>
      </c>
      <c r="K212">
        <v>5</v>
      </c>
      <c r="L212">
        <v>20</v>
      </c>
      <c r="M212">
        <v>20</v>
      </c>
      <c r="N212">
        <v>9</v>
      </c>
      <c r="O212">
        <v>12</v>
      </c>
      <c r="P212">
        <v>9</v>
      </c>
      <c r="Q212">
        <v>18</v>
      </c>
      <c r="R212">
        <v>3</v>
      </c>
    </row>
    <row r="213" spans="3:18"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1</v>
      </c>
      <c r="K213">
        <v>28</v>
      </c>
      <c r="L213">
        <v>19</v>
      </c>
      <c r="M213">
        <v>23</v>
      </c>
      <c r="N213">
        <v>14</v>
      </c>
      <c r="O213">
        <v>10</v>
      </c>
      <c r="P213">
        <v>25</v>
      </c>
      <c r="Q213">
        <v>1</v>
      </c>
      <c r="R213">
        <v>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árok3"/>
  <dimension ref="A1:AN114"/>
  <sheetViews>
    <sheetView workbookViewId="0">
      <selection activeCell="Y10" sqref="Y10"/>
    </sheetView>
  </sheetViews>
  <sheetFormatPr defaultRowHeight="15"/>
  <cols>
    <col min="1" max="1" width="4" customWidth="1"/>
    <col min="2" max="2" width="4.7109375" customWidth="1"/>
    <col min="3" max="3" width="3.42578125" customWidth="1"/>
    <col min="6" max="6" width="14.140625" bestFit="1" customWidth="1"/>
    <col min="7" max="14" width="4.85546875" customWidth="1"/>
    <col min="15" max="15" width="6.140625" customWidth="1"/>
    <col min="16" max="22" width="2.42578125" customWidth="1"/>
    <col min="24" max="31" width="5.28515625" customWidth="1"/>
    <col min="33" max="40" width="5.7109375" customWidth="1"/>
  </cols>
  <sheetData>
    <row r="1" spans="1:40">
      <c r="A1">
        <v>0</v>
      </c>
      <c r="B1">
        <v>0</v>
      </c>
      <c r="C1" t="str">
        <f>CHAR(65+A1)</f>
        <v>A</v>
      </c>
      <c r="F1">
        <f>VLOOKUP(I1,$A$2:$B$29,2)</f>
        <v>4</v>
      </c>
      <c r="I1">
        <v>22</v>
      </c>
      <c r="AH1" t="s">
        <v>1</v>
      </c>
      <c r="AI1">
        <f>CODE(AH1)</f>
        <v>44</v>
      </c>
    </row>
    <row r="2" spans="1:40">
      <c r="A2" s="10">
        <v>1</v>
      </c>
      <c r="B2" s="10">
        <f t="shared" ref="B2:B29" si="0">MOD(MOD(A2^3,29)*MOD(MOD(A2^4,29)^2,29)*MOD(MOD(MOD(A2^4,29)^2,29)^2,29),29)</f>
        <v>1</v>
      </c>
      <c r="C2" t="str">
        <f t="shared" ref="C2:C26" si="1">CHAR(65+A2)</f>
        <v>B</v>
      </c>
    </row>
    <row r="3" spans="1:40">
      <c r="A3" s="10">
        <v>2</v>
      </c>
      <c r="B3" s="10">
        <f t="shared" si="0"/>
        <v>15</v>
      </c>
      <c r="C3" t="str">
        <f t="shared" si="1"/>
        <v>C</v>
      </c>
    </row>
    <row r="4" spans="1:40">
      <c r="A4" s="10">
        <v>3</v>
      </c>
      <c r="B4" s="10">
        <f t="shared" si="0"/>
        <v>10</v>
      </c>
      <c r="C4" t="str">
        <f t="shared" si="1"/>
        <v>D</v>
      </c>
      <c r="G4" s="13">
        <v>22</v>
      </c>
      <c r="H4" s="13">
        <v>2</v>
      </c>
      <c r="I4" s="13">
        <v>27</v>
      </c>
      <c r="J4" s="13">
        <v>0</v>
      </c>
      <c r="K4" s="13">
        <v>6</v>
      </c>
      <c r="L4" s="13">
        <v>11</v>
      </c>
      <c r="M4" s="13">
        <v>0</v>
      </c>
      <c r="N4" s="13">
        <v>17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X4" s="11">
        <v>22</v>
      </c>
      <c r="Y4" s="11">
        <v>7</v>
      </c>
      <c r="Z4" s="11">
        <v>26</v>
      </c>
      <c r="AA4" s="11">
        <v>26</v>
      </c>
      <c r="AB4" s="11">
        <v>9</v>
      </c>
      <c r="AC4" s="11">
        <v>16</v>
      </c>
      <c r="AD4" s="11">
        <v>11</v>
      </c>
      <c r="AE4" s="11">
        <v>1</v>
      </c>
      <c r="AG4" t="str">
        <f>VLOOKUP(G4,$A$1:$C$29,3)</f>
        <v>W</v>
      </c>
      <c r="AH4" t="str">
        <f t="shared" ref="AH4:AH11" si="2">VLOOKUP(H4,$A$1:$C$29,3)</f>
        <v>C</v>
      </c>
      <c r="AI4" t="str">
        <f t="shared" ref="AI4:AI11" si="3">VLOOKUP(I4,$A$1:$C$29,3)</f>
        <v>.</v>
      </c>
      <c r="AJ4" t="str">
        <f t="shared" ref="AJ4:AJ11" si="4">VLOOKUP(J4,$A$1:$C$29,3)</f>
        <v>A</v>
      </c>
      <c r="AK4" t="str">
        <f t="shared" ref="AK4:AK11" si="5">VLOOKUP(K4,$A$1:$C$29,3)</f>
        <v>G</v>
      </c>
      <c r="AL4" t="str">
        <f t="shared" ref="AL4:AL11" si="6">VLOOKUP(L4,$A$1:$C$29,3)</f>
        <v>L</v>
      </c>
      <c r="AM4" t="str">
        <f t="shared" ref="AM4:AM11" si="7">VLOOKUP(M4,$A$1:$C$29,3)</f>
        <v>A</v>
      </c>
      <c r="AN4" t="str">
        <f t="shared" ref="AN4:AN11" si="8">VLOOKUP(N4,$A$1:$C$29,3)</f>
        <v>R</v>
      </c>
    </row>
    <row r="5" spans="1:40">
      <c r="A5" s="10">
        <v>4</v>
      </c>
      <c r="B5" s="10">
        <f t="shared" si="0"/>
        <v>22</v>
      </c>
      <c r="C5" t="str">
        <f t="shared" si="1"/>
        <v>E</v>
      </c>
      <c r="G5" s="13">
        <v>3</v>
      </c>
      <c r="H5" s="13">
        <v>19</v>
      </c>
      <c r="I5" s="13">
        <v>28</v>
      </c>
      <c r="J5" s="13">
        <v>28</v>
      </c>
      <c r="K5" s="13">
        <v>28</v>
      </c>
      <c r="L5" s="13">
        <v>6</v>
      </c>
      <c r="M5" s="13">
        <v>7</v>
      </c>
      <c r="N5" s="13">
        <v>22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X5" s="11">
        <v>9</v>
      </c>
      <c r="Y5" s="11">
        <v>2</v>
      </c>
      <c r="Z5" s="11">
        <v>24</v>
      </c>
      <c r="AA5" s="11">
        <v>18</v>
      </c>
      <c r="AB5" s="11">
        <v>6</v>
      </c>
      <c r="AC5" s="11">
        <v>17</v>
      </c>
      <c r="AD5" s="11">
        <v>9</v>
      </c>
      <c r="AE5" s="11">
        <v>23</v>
      </c>
      <c r="AG5" t="str">
        <f t="shared" ref="AG5:AG11" si="9">VLOOKUP(G5,$A$1:$C$29,3)</f>
        <v>D</v>
      </c>
      <c r="AH5" t="str">
        <f t="shared" si="2"/>
        <v>T</v>
      </c>
      <c r="AI5" t="str">
        <f t="shared" si="3"/>
        <v>,</v>
      </c>
      <c r="AJ5" t="str">
        <f t="shared" si="4"/>
        <v>,</v>
      </c>
      <c r="AK5" t="str">
        <f t="shared" si="5"/>
        <v>,</v>
      </c>
      <c r="AL5" t="str">
        <f t="shared" si="6"/>
        <v>G</v>
      </c>
      <c r="AM5" t="str">
        <f t="shared" si="7"/>
        <v>H</v>
      </c>
      <c r="AN5" t="str">
        <f t="shared" si="8"/>
        <v>W</v>
      </c>
    </row>
    <row r="6" spans="1:40">
      <c r="A6" s="10">
        <v>5</v>
      </c>
      <c r="B6" s="10">
        <f t="shared" si="0"/>
        <v>6</v>
      </c>
      <c r="C6" t="str">
        <f t="shared" si="1"/>
        <v>F</v>
      </c>
      <c r="G6" s="13">
        <v>7</v>
      </c>
      <c r="H6" s="13">
        <v>16</v>
      </c>
      <c r="I6" s="13">
        <v>6</v>
      </c>
      <c r="J6" s="13">
        <v>14</v>
      </c>
      <c r="K6" s="13">
        <v>14</v>
      </c>
      <c r="L6" s="13">
        <v>7</v>
      </c>
      <c r="M6" s="13">
        <v>25</v>
      </c>
      <c r="N6" s="13">
        <v>24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X6" s="11">
        <v>8</v>
      </c>
      <c r="Y6" s="11">
        <v>6</v>
      </c>
      <c r="Z6" s="11">
        <v>17</v>
      </c>
      <c r="AA6" s="11">
        <v>13</v>
      </c>
      <c r="AB6" s="11">
        <v>28</v>
      </c>
      <c r="AC6" s="11">
        <v>18</v>
      </c>
      <c r="AD6" s="11">
        <v>25</v>
      </c>
      <c r="AE6" s="11">
        <v>1</v>
      </c>
      <c r="AG6" t="str">
        <f t="shared" si="9"/>
        <v>H</v>
      </c>
      <c r="AH6" t="str">
        <f t="shared" si="2"/>
        <v>Q</v>
      </c>
      <c r="AI6" t="str">
        <f t="shared" si="3"/>
        <v>G</v>
      </c>
      <c r="AJ6" t="str">
        <f t="shared" si="4"/>
        <v>O</v>
      </c>
      <c r="AK6" t="str">
        <f t="shared" si="5"/>
        <v>O</v>
      </c>
      <c r="AL6" t="str">
        <f t="shared" si="6"/>
        <v>H</v>
      </c>
      <c r="AM6" t="str">
        <f t="shared" si="7"/>
        <v>Z</v>
      </c>
      <c r="AN6" t="str">
        <f t="shared" si="8"/>
        <v>Y</v>
      </c>
    </row>
    <row r="7" spans="1:40">
      <c r="A7" s="10">
        <v>6</v>
      </c>
      <c r="B7" s="10">
        <f t="shared" si="0"/>
        <v>5</v>
      </c>
      <c r="C7" t="str">
        <f t="shared" si="1"/>
        <v>G</v>
      </c>
      <c r="G7" s="13">
        <v>24</v>
      </c>
      <c r="H7" s="13">
        <v>6</v>
      </c>
      <c r="I7" s="13">
        <v>5</v>
      </c>
      <c r="J7" s="13">
        <v>18</v>
      </c>
      <c r="K7" s="13">
        <v>1</v>
      </c>
      <c r="L7" s="13">
        <v>14</v>
      </c>
      <c r="M7" s="13">
        <v>19</v>
      </c>
      <c r="N7" s="13">
        <v>27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X7" s="11">
        <v>9</v>
      </c>
      <c r="Y7" s="11">
        <v>21</v>
      </c>
      <c r="Z7" s="11">
        <v>21</v>
      </c>
      <c r="AA7" s="11">
        <v>8</v>
      </c>
      <c r="AB7" s="11">
        <v>14</v>
      </c>
      <c r="AC7" s="11">
        <v>15</v>
      </c>
      <c r="AD7" s="11">
        <v>13</v>
      </c>
      <c r="AE7" s="11">
        <v>28</v>
      </c>
      <c r="AG7" t="str">
        <f t="shared" si="9"/>
        <v>Y</v>
      </c>
      <c r="AH7" t="str">
        <f t="shared" si="2"/>
        <v>G</v>
      </c>
      <c r="AI7" t="str">
        <f t="shared" si="3"/>
        <v>F</v>
      </c>
      <c r="AJ7" t="str">
        <f t="shared" si="4"/>
        <v>S</v>
      </c>
      <c r="AK7" t="str">
        <f t="shared" si="5"/>
        <v>B</v>
      </c>
      <c r="AL7" t="str">
        <f t="shared" si="6"/>
        <v>O</v>
      </c>
      <c r="AM7" t="str">
        <f t="shared" si="7"/>
        <v>T</v>
      </c>
      <c r="AN7" t="str">
        <f t="shared" si="8"/>
        <v>.</v>
      </c>
    </row>
    <row r="8" spans="1:40">
      <c r="A8" s="10">
        <v>7</v>
      </c>
      <c r="B8" s="10">
        <f t="shared" si="0"/>
        <v>25</v>
      </c>
      <c r="C8" t="str">
        <f t="shared" si="1"/>
        <v>H</v>
      </c>
      <c r="G8" s="13">
        <v>22</v>
      </c>
      <c r="H8" s="13">
        <v>5</v>
      </c>
      <c r="I8" s="13">
        <v>6</v>
      </c>
      <c r="J8" s="13">
        <v>27</v>
      </c>
      <c r="K8" s="13">
        <v>0</v>
      </c>
      <c r="L8" s="13">
        <v>24</v>
      </c>
      <c r="M8" s="13">
        <v>27</v>
      </c>
      <c r="N8" s="13">
        <v>4</v>
      </c>
      <c r="O8">
        <v>0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X8" s="11">
        <v>22</v>
      </c>
      <c r="Y8" s="11">
        <v>9</v>
      </c>
      <c r="Z8" s="11">
        <v>26</v>
      </c>
      <c r="AA8" s="11">
        <v>6</v>
      </c>
      <c r="AB8" s="11">
        <v>5</v>
      </c>
      <c r="AC8" s="11">
        <v>3</v>
      </c>
      <c r="AD8" s="11">
        <v>6</v>
      </c>
      <c r="AE8" s="11">
        <v>27</v>
      </c>
      <c r="AG8" t="str">
        <f t="shared" si="9"/>
        <v>W</v>
      </c>
      <c r="AH8" t="str">
        <f t="shared" si="2"/>
        <v>F</v>
      </c>
      <c r="AI8" t="str">
        <f t="shared" si="3"/>
        <v>G</v>
      </c>
      <c r="AJ8" t="str">
        <f t="shared" si="4"/>
        <v>.</v>
      </c>
      <c r="AK8" t="str">
        <f t="shared" si="5"/>
        <v>A</v>
      </c>
      <c r="AL8" t="str">
        <f t="shared" si="6"/>
        <v>Y</v>
      </c>
      <c r="AM8" t="str">
        <f t="shared" si="7"/>
        <v>.</v>
      </c>
      <c r="AN8" t="str">
        <f t="shared" si="8"/>
        <v>E</v>
      </c>
    </row>
    <row r="9" spans="1:40">
      <c r="A9" s="10">
        <v>8</v>
      </c>
      <c r="B9" s="10">
        <f t="shared" si="0"/>
        <v>11</v>
      </c>
      <c r="C9" t="str">
        <f t="shared" si="1"/>
        <v>I</v>
      </c>
      <c r="G9" s="13">
        <v>28</v>
      </c>
      <c r="H9" s="13">
        <v>20</v>
      </c>
      <c r="I9" s="13">
        <v>15</v>
      </c>
      <c r="J9" s="13">
        <v>5</v>
      </c>
      <c r="K9" s="13">
        <v>3</v>
      </c>
      <c r="L9" s="13">
        <v>27</v>
      </c>
      <c r="M9" s="13">
        <v>2</v>
      </c>
      <c r="N9" s="13">
        <v>5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0</v>
      </c>
      <c r="X9" s="11">
        <v>14</v>
      </c>
      <c r="Y9" s="11">
        <v>2</v>
      </c>
      <c r="Z9" s="11">
        <v>26</v>
      </c>
      <c r="AA9" s="11">
        <v>13</v>
      </c>
      <c r="AB9" s="11">
        <v>8</v>
      </c>
      <c r="AC9" s="11">
        <v>3</v>
      </c>
      <c r="AD9" s="11">
        <v>8</v>
      </c>
      <c r="AE9" s="11">
        <v>9</v>
      </c>
      <c r="AG9" t="str">
        <f t="shared" si="9"/>
        <v>,</v>
      </c>
      <c r="AH9" t="str">
        <f t="shared" si="2"/>
        <v>U</v>
      </c>
      <c r="AI9" t="str">
        <f t="shared" si="3"/>
        <v>P</v>
      </c>
      <c r="AJ9" t="str">
        <f t="shared" si="4"/>
        <v>F</v>
      </c>
      <c r="AK9" t="str">
        <f t="shared" si="5"/>
        <v>D</v>
      </c>
      <c r="AL9" t="str">
        <f t="shared" si="6"/>
        <v>.</v>
      </c>
      <c r="AM9" t="str">
        <f t="shared" si="7"/>
        <v>C</v>
      </c>
      <c r="AN9" t="str">
        <f t="shared" si="8"/>
        <v>F</v>
      </c>
    </row>
    <row r="10" spans="1:40">
      <c r="A10" s="10">
        <v>9</v>
      </c>
      <c r="B10" s="10">
        <f t="shared" si="0"/>
        <v>13</v>
      </c>
      <c r="C10" t="str">
        <f t="shared" si="1"/>
        <v>J</v>
      </c>
      <c r="G10" s="13">
        <v>13</v>
      </c>
      <c r="H10" s="13">
        <v>22</v>
      </c>
      <c r="I10" s="13">
        <v>19</v>
      </c>
      <c r="J10" s="13">
        <v>9</v>
      </c>
      <c r="K10" s="13">
        <v>3</v>
      </c>
      <c r="L10" s="13">
        <v>7</v>
      </c>
      <c r="M10" s="13">
        <v>18</v>
      </c>
      <c r="N10" s="13">
        <v>26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0</v>
      </c>
      <c r="X10" s="11">
        <v>25</v>
      </c>
      <c r="Y10" s="11">
        <v>24</v>
      </c>
      <c r="Z10" s="11">
        <v>28</v>
      </c>
      <c r="AA10" s="11">
        <v>2</v>
      </c>
      <c r="AB10" s="11">
        <v>1</v>
      </c>
      <c r="AC10" s="11">
        <v>22</v>
      </c>
      <c r="AD10" s="11">
        <v>14</v>
      </c>
      <c r="AE10" s="11">
        <v>3</v>
      </c>
      <c r="AG10" t="str">
        <f t="shared" si="9"/>
        <v>N</v>
      </c>
      <c r="AH10" t="str">
        <f t="shared" si="2"/>
        <v>W</v>
      </c>
      <c r="AI10" t="str">
        <f t="shared" si="3"/>
        <v>T</v>
      </c>
      <c r="AJ10" t="str">
        <f t="shared" si="4"/>
        <v>J</v>
      </c>
      <c r="AK10" t="str">
        <f t="shared" si="5"/>
        <v>D</v>
      </c>
      <c r="AL10" t="str">
        <f t="shared" si="6"/>
        <v>H</v>
      </c>
      <c r="AM10" t="str">
        <f t="shared" si="7"/>
        <v>S</v>
      </c>
      <c r="AN10" t="str">
        <f t="shared" si="8"/>
        <v xml:space="preserve"> </v>
      </c>
    </row>
    <row r="11" spans="1:40">
      <c r="A11" s="10">
        <v>10</v>
      </c>
      <c r="B11" s="10">
        <f t="shared" si="0"/>
        <v>3</v>
      </c>
      <c r="C11" t="str">
        <f t="shared" si="1"/>
        <v>K</v>
      </c>
      <c r="G11" s="13">
        <v>18</v>
      </c>
      <c r="H11" s="13">
        <v>7</v>
      </c>
      <c r="I11" s="13">
        <v>16</v>
      </c>
      <c r="J11" s="13">
        <v>0</v>
      </c>
      <c r="K11" s="13">
        <v>13</v>
      </c>
      <c r="L11" s="13">
        <v>11</v>
      </c>
      <c r="M11" s="13">
        <v>16</v>
      </c>
      <c r="N11" s="13">
        <v>6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X11" s="11">
        <v>28</v>
      </c>
      <c r="Y11" s="11">
        <v>4</v>
      </c>
      <c r="Z11" s="11">
        <v>18</v>
      </c>
      <c r="AA11" s="11">
        <v>3</v>
      </c>
      <c r="AB11" s="11">
        <v>13</v>
      </c>
      <c r="AC11" s="11">
        <v>2</v>
      </c>
      <c r="AD11" s="11">
        <v>23</v>
      </c>
      <c r="AE11" s="11">
        <v>20</v>
      </c>
      <c r="AG11" t="str">
        <f t="shared" si="9"/>
        <v>S</v>
      </c>
      <c r="AH11" t="str">
        <f t="shared" si="2"/>
        <v>H</v>
      </c>
      <c r="AI11" t="str">
        <f t="shared" si="3"/>
        <v>Q</v>
      </c>
      <c r="AJ11" t="str">
        <f t="shared" si="4"/>
        <v>A</v>
      </c>
      <c r="AK11" t="str">
        <f t="shared" si="5"/>
        <v>N</v>
      </c>
      <c r="AL11" t="str">
        <f t="shared" si="6"/>
        <v>L</v>
      </c>
      <c r="AM11" t="str">
        <f t="shared" si="7"/>
        <v>Q</v>
      </c>
      <c r="AN11" t="str">
        <f t="shared" si="8"/>
        <v>G</v>
      </c>
    </row>
    <row r="12" spans="1:40">
      <c r="A12" s="10">
        <v>11</v>
      </c>
      <c r="B12" s="10">
        <f t="shared" si="0"/>
        <v>8</v>
      </c>
      <c r="C12" t="str">
        <f t="shared" si="1"/>
        <v>L</v>
      </c>
    </row>
    <row r="13" spans="1:40">
      <c r="A13" s="10">
        <v>12</v>
      </c>
      <c r="B13" s="10">
        <f t="shared" si="0"/>
        <v>17</v>
      </c>
      <c r="C13" t="str">
        <f t="shared" si="1"/>
        <v>M</v>
      </c>
    </row>
    <row r="14" spans="1:40">
      <c r="A14" s="10">
        <v>13</v>
      </c>
      <c r="B14" s="10">
        <f t="shared" si="0"/>
        <v>9</v>
      </c>
      <c r="C14" t="str">
        <f t="shared" si="1"/>
        <v>N</v>
      </c>
      <c r="G14">
        <f>MOD(4*G4,29)</f>
        <v>1</v>
      </c>
      <c r="H14">
        <f t="shared" ref="H14:V14" si="10">MOD(4*H4,29)</f>
        <v>8</v>
      </c>
      <c r="I14">
        <f t="shared" si="10"/>
        <v>21</v>
      </c>
      <c r="J14">
        <f t="shared" si="10"/>
        <v>0</v>
      </c>
      <c r="K14">
        <f t="shared" si="10"/>
        <v>24</v>
      </c>
      <c r="L14">
        <f t="shared" si="10"/>
        <v>15</v>
      </c>
      <c r="M14">
        <f t="shared" si="10"/>
        <v>0</v>
      </c>
      <c r="N14">
        <f t="shared" si="10"/>
        <v>10</v>
      </c>
      <c r="O14">
        <f t="shared" si="10"/>
        <v>4</v>
      </c>
      <c r="P14">
        <f t="shared" si="10"/>
        <v>0</v>
      </c>
      <c r="Q14">
        <f t="shared" si="10"/>
        <v>0</v>
      </c>
      <c r="R14">
        <f t="shared" si="10"/>
        <v>0</v>
      </c>
      <c r="S14">
        <f t="shared" si="10"/>
        <v>0</v>
      </c>
      <c r="T14">
        <f t="shared" si="10"/>
        <v>0</v>
      </c>
      <c r="U14">
        <f t="shared" si="10"/>
        <v>0</v>
      </c>
      <c r="V14">
        <f t="shared" si="10"/>
        <v>0</v>
      </c>
      <c r="X14">
        <f t="array" ref="X14:AE21">MMULT(G4:N11,X4:AE11)</f>
        <v>1480</v>
      </c>
      <c r="Y14">
        <v>464</v>
      </c>
      <c r="Z14">
        <v>1827</v>
      </c>
      <c r="AA14">
        <v>1189</v>
      </c>
      <c r="AB14">
        <v>1305</v>
      </c>
      <c r="AC14">
        <v>957</v>
      </c>
      <c r="AD14">
        <v>1450</v>
      </c>
      <c r="AE14">
        <v>696</v>
      </c>
    </row>
    <row r="15" spans="1:40">
      <c r="A15" s="10">
        <v>14</v>
      </c>
      <c r="B15" s="10">
        <f t="shared" si="0"/>
        <v>27</v>
      </c>
      <c r="C15" t="str">
        <f t="shared" si="1"/>
        <v>O</v>
      </c>
      <c r="D15">
        <v>3</v>
      </c>
      <c r="G15">
        <f>MOD(G5-$D15*G$14,29)</f>
        <v>0</v>
      </c>
      <c r="H15">
        <f t="shared" ref="H15:V15" si="11">MOD(H5-$D15*H$14,29)</f>
        <v>24</v>
      </c>
      <c r="I15">
        <f t="shared" si="11"/>
        <v>23</v>
      </c>
      <c r="J15">
        <f t="shared" si="11"/>
        <v>28</v>
      </c>
      <c r="K15">
        <f t="shared" si="11"/>
        <v>14</v>
      </c>
      <c r="L15">
        <f t="shared" si="11"/>
        <v>19</v>
      </c>
      <c r="M15">
        <f t="shared" si="11"/>
        <v>7</v>
      </c>
      <c r="N15">
        <f t="shared" si="11"/>
        <v>21</v>
      </c>
      <c r="O15">
        <f t="shared" si="11"/>
        <v>17</v>
      </c>
      <c r="P15">
        <f t="shared" si="11"/>
        <v>1</v>
      </c>
      <c r="Q15">
        <f t="shared" si="11"/>
        <v>0</v>
      </c>
      <c r="R15">
        <f t="shared" si="11"/>
        <v>0</v>
      </c>
      <c r="S15">
        <f t="shared" si="11"/>
        <v>0</v>
      </c>
      <c r="T15">
        <f t="shared" si="11"/>
        <v>0</v>
      </c>
      <c r="U15">
        <f t="shared" si="11"/>
        <v>0</v>
      </c>
      <c r="V15">
        <f t="shared" si="11"/>
        <v>0</v>
      </c>
      <c r="X15">
        <v>2204</v>
      </c>
      <c r="Y15">
        <v>1335</v>
      </c>
      <c r="Z15">
        <v>3074</v>
      </c>
      <c r="AA15">
        <v>1334</v>
      </c>
      <c r="AB15">
        <v>1798</v>
      </c>
      <c r="AC15">
        <v>1595</v>
      </c>
      <c r="AD15">
        <v>2088</v>
      </c>
      <c r="AE15">
        <v>2523</v>
      </c>
    </row>
    <row r="16" spans="1:40">
      <c r="A16" s="10">
        <v>15</v>
      </c>
      <c r="B16" s="10">
        <f t="shared" si="0"/>
        <v>2</v>
      </c>
      <c r="C16" t="str">
        <f t="shared" si="1"/>
        <v>P</v>
      </c>
      <c r="D16">
        <v>7</v>
      </c>
      <c r="G16">
        <f t="shared" ref="G16:V16" si="12">MOD(G6-$D16*G$14,29)</f>
        <v>0</v>
      </c>
      <c r="H16">
        <f t="shared" si="12"/>
        <v>18</v>
      </c>
      <c r="I16">
        <f t="shared" si="12"/>
        <v>4</v>
      </c>
      <c r="J16">
        <f t="shared" si="12"/>
        <v>14</v>
      </c>
      <c r="K16">
        <f t="shared" si="12"/>
        <v>20</v>
      </c>
      <c r="L16">
        <f t="shared" si="12"/>
        <v>18</v>
      </c>
      <c r="M16">
        <f t="shared" si="12"/>
        <v>25</v>
      </c>
      <c r="N16">
        <f t="shared" si="12"/>
        <v>12</v>
      </c>
      <c r="O16">
        <f t="shared" si="12"/>
        <v>1</v>
      </c>
      <c r="P16">
        <f t="shared" si="12"/>
        <v>0</v>
      </c>
      <c r="Q16">
        <f t="shared" si="12"/>
        <v>1</v>
      </c>
      <c r="R16">
        <f t="shared" si="12"/>
        <v>0</v>
      </c>
      <c r="S16">
        <f t="shared" si="12"/>
        <v>0</v>
      </c>
      <c r="T16">
        <f t="shared" si="12"/>
        <v>0</v>
      </c>
      <c r="U16">
        <f t="shared" si="12"/>
        <v>0</v>
      </c>
      <c r="V16">
        <f t="shared" si="12"/>
        <v>0</v>
      </c>
      <c r="X16">
        <v>2175</v>
      </c>
      <c r="Y16">
        <v>1247</v>
      </c>
      <c r="Z16">
        <v>2640</v>
      </c>
      <c r="AA16">
        <v>957</v>
      </c>
      <c r="AB16">
        <v>986</v>
      </c>
      <c r="AC16">
        <v>1363</v>
      </c>
      <c r="AD16">
        <v>1595</v>
      </c>
      <c r="AE16">
        <v>1769</v>
      </c>
    </row>
    <row r="17" spans="1:31">
      <c r="A17" s="10">
        <v>16</v>
      </c>
      <c r="B17" s="10">
        <f t="shared" si="0"/>
        <v>20</v>
      </c>
      <c r="C17" t="str">
        <f t="shared" si="1"/>
        <v>Q</v>
      </c>
      <c r="D17">
        <v>24</v>
      </c>
      <c r="G17">
        <f t="shared" ref="G17:V17" si="13">MOD(G7-$D17*G$14,29)</f>
        <v>0</v>
      </c>
      <c r="H17">
        <f t="shared" si="13"/>
        <v>17</v>
      </c>
      <c r="I17">
        <f t="shared" si="13"/>
        <v>23</v>
      </c>
      <c r="J17">
        <f t="shared" si="13"/>
        <v>18</v>
      </c>
      <c r="K17">
        <f t="shared" si="13"/>
        <v>5</v>
      </c>
      <c r="L17">
        <f t="shared" si="13"/>
        <v>2</v>
      </c>
      <c r="M17">
        <f t="shared" si="13"/>
        <v>19</v>
      </c>
      <c r="N17">
        <f t="shared" si="13"/>
        <v>19</v>
      </c>
      <c r="O17">
        <f t="shared" si="13"/>
        <v>20</v>
      </c>
      <c r="P17">
        <f t="shared" si="13"/>
        <v>0</v>
      </c>
      <c r="Q17">
        <f t="shared" si="13"/>
        <v>0</v>
      </c>
      <c r="R17">
        <f t="shared" si="13"/>
        <v>1</v>
      </c>
      <c r="S17">
        <f t="shared" si="13"/>
        <v>0</v>
      </c>
      <c r="T17">
        <f t="shared" si="13"/>
        <v>0</v>
      </c>
      <c r="U17">
        <f t="shared" si="13"/>
        <v>0</v>
      </c>
      <c r="V17">
        <f t="shared" si="13"/>
        <v>0</v>
      </c>
      <c r="X17">
        <v>2233</v>
      </c>
      <c r="Y17">
        <v>1189</v>
      </c>
      <c r="Z17">
        <v>2639</v>
      </c>
      <c r="AA17">
        <v>1248</v>
      </c>
      <c r="AB17">
        <v>1131</v>
      </c>
      <c r="AC17">
        <v>1363</v>
      </c>
      <c r="AD17">
        <v>1682</v>
      </c>
      <c r="AE17">
        <v>1421</v>
      </c>
    </row>
    <row r="18" spans="1:31">
      <c r="A18" s="10">
        <v>17</v>
      </c>
      <c r="B18" s="10">
        <f t="shared" si="0"/>
        <v>12</v>
      </c>
      <c r="C18" t="str">
        <f t="shared" si="1"/>
        <v>R</v>
      </c>
      <c r="D18">
        <v>22</v>
      </c>
      <c r="G18">
        <f t="shared" ref="G18:V18" si="14">MOD(G8-$D18*G$14,29)</f>
        <v>0</v>
      </c>
      <c r="H18">
        <f t="shared" si="14"/>
        <v>3</v>
      </c>
      <c r="I18">
        <f t="shared" si="14"/>
        <v>8</v>
      </c>
      <c r="J18">
        <f t="shared" si="14"/>
        <v>27</v>
      </c>
      <c r="K18">
        <f t="shared" si="14"/>
        <v>23</v>
      </c>
      <c r="L18">
        <f t="shared" si="14"/>
        <v>13</v>
      </c>
      <c r="M18">
        <f t="shared" si="14"/>
        <v>27</v>
      </c>
      <c r="N18">
        <f t="shared" si="14"/>
        <v>16</v>
      </c>
      <c r="O18">
        <f t="shared" si="14"/>
        <v>28</v>
      </c>
      <c r="P18">
        <f t="shared" si="14"/>
        <v>0</v>
      </c>
      <c r="Q18">
        <f t="shared" si="14"/>
        <v>0</v>
      </c>
      <c r="R18">
        <f t="shared" si="14"/>
        <v>0</v>
      </c>
      <c r="S18">
        <f t="shared" si="14"/>
        <v>1</v>
      </c>
      <c r="T18">
        <f t="shared" si="14"/>
        <v>0</v>
      </c>
      <c r="U18">
        <f t="shared" si="14"/>
        <v>0</v>
      </c>
      <c r="V18">
        <f t="shared" si="14"/>
        <v>0</v>
      </c>
      <c r="X18">
        <v>1943</v>
      </c>
      <c r="Y18">
        <v>1479</v>
      </c>
      <c r="Z18">
        <v>2813</v>
      </c>
      <c r="AA18">
        <v>1334</v>
      </c>
      <c r="AB18">
        <v>1045</v>
      </c>
      <c r="AC18">
        <v>1624</v>
      </c>
      <c r="AD18">
        <v>1450</v>
      </c>
      <c r="AE18">
        <v>1276</v>
      </c>
    </row>
    <row r="19" spans="1:31">
      <c r="A19" s="10">
        <v>18</v>
      </c>
      <c r="B19" s="10">
        <f t="shared" si="0"/>
        <v>21</v>
      </c>
      <c r="C19" t="str">
        <f t="shared" si="1"/>
        <v>S</v>
      </c>
      <c r="D19">
        <v>28</v>
      </c>
      <c r="G19">
        <f t="shared" ref="G19:V19" si="15">MOD(G9-$D19*G$14,29)</f>
        <v>0</v>
      </c>
      <c r="H19">
        <f t="shared" si="15"/>
        <v>28</v>
      </c>
      <c r="I19">
        <f t="shared" si="15"/>
        <v>7</v>
      </c>
      <c r="J19">
        <f t="shared" si="15"/>
        <v>5</v>
      </c>
      <c r="K19">
        <f t="shared" si="15"/>
        <v>27</v>
      </c>
      <c r="L19">
        <f t="shared" si="15"/>
        <v>13</v>
      </c>
      <c r="M19">
        <f t="shared" si="15"/>
        <v>2</v>
      </c>
      <c r="N19">
        <f t="shared" si="15"/>
        <v>15</v>
      </c>
      <c r="O19">
        <f t="shared" si="15"/>
        <v>4</v>
      </c>
      <c r="P19">
        <f t="shared" si="15"/>
        <v>0</v>
      </c>
      <c r="Q19">
        <f t="shared" si="15"/>
        <v>0</v>
      </c>
      <c r="R19">
        <f t="shared" si="15"/>
        <v>0</v>
      </c>
      <c r="S19">
        <f t="shared" si="15"/>
        <v>0</v>
      </c>
      <c r="T19">
        <f t="shared" si="15"/>
        <v>1</v>
      </c>
      <c r="U19">
        <f t="shared" si="15"/>
        <v>0</v>
      </c>
      <c r="V19">
        <f t="shared" si="15"/>
        <v>0</v>
      </c>
      <c r="X19">
        <v>1595</v>
      </c>
      <c r="Y19">
        <v>580</v>
      </c>
      <c r="Z19">
        <v>2494</v>
      </c>
      <c r="AA19">
        <v>1711</v>
      </c>
      <c r="AB19">
        <v>1160</v>
      </c>
      <c r="AC19">
        <v>1277</v>
      </c>
      <c r="AD19">
        <v>1305</v>
      </c>
      <c r="AE19">
        <v>1073</v>
      </c>
    </row>
    <row r="20" spans="1:31">
      <c r="A20" s="10">
        <v>19</v>
      </c>
      <c r="B20" s="10">
        <f t="shared" si="0"/>
        <v>26</v>
      </c>
      <c r="C20" t="str">
        <f t="shared" si="1"/>
        <v>T</v>
      </c>
      <c r="D20">
        <v>13</v>
      </c>
      <c r="G20">
        <f t="shared" ref="G20:V20" si="16">MOD(G10-$D20*G$14,29)</f>
        <v>0</v>
      </c>
      <c r="H20">
        <f t="shared" si="16"/>
        <v>5</v>
      </c>
      <c r="I20">
        <f t="shared" si="16"/>
        <v>7</v>
      </c>
      <c r="J20">
        <f t="shared" si="16"/>
        <v>9</v>
      </c>
      <c r="K20">
        <f t="shared" si="16"/>
        <v>10</v>
      </c>
      <c r="L20">
        <f t="shared" si="16"/>
        <v>15</v>
      </c>
      <c r="M20">
        <f t="shared" si="16"/>
        <v>18</v>
      </c>
      <c r="N20">
        <f t="shared" si="16"/>
        <v>12</v>
      </c>
      <c r="O20">
        <f t="shared" si="16"/>
        <v>6</v>
      </c>
      <c r="P20">
        <f t="shared" si="16"/>
        <v>0</v>
      </c>
      <c r="Q20">
        <f t="shared" si="16"/>
        <v>0</v>
      </c>
      <c r="R20">
        <f t="shared" si="16"/>
        <v>0</v>
      </c>
      <c r="S20">
        <f t="shared" si="16"/>
        <v>0</v>
      </c>
      <c r="T20">
        <f t="shared" si="16"/>
        <v>0</v>
      </c>
      <c r="U20">
        <f t="shared" si="16"/>
        <v>1</v>
      </c>
      <c r="V20">
        <f t="shared" si="16"/>
        <v>0</v>
      </c>
      <c r="X20">
        <v>2059</v>
      </c>
      <c r="Y20">
        <v>1015</v>
      </c>
      <c r="Z20">
        <v>2610</v>
      </c>
      <c r="AA20">
        <v>1276</v>
      </c>
      <c r="AB20">
        <v>1334</v>
      </c>
      <c r="AC20">
        <v>1537</v>
      </c>
      <c r="AD20">
        <v>1857</v>
      </c>
      <c r="AE20">
        <v>1508</v>
      </c>
    </row>
    <row r="21" spans="1:31">
      <c r="A21" s="10">
        <v>20</v>
      </c>
      <c r="B21" s="10">
        <f t="shared" si="0"/>
        <v>16</v>
      </c>
      <c r="C21" t="str">
        <f t="shared" si="1"/>
        <v>U</v>
      </c>
      <c r="D21">
        <v>18</v>
      </c>
      <c r="G21">
        <f t="shared" ref="G21:V21" si="17">MOD(G11-$D21*G$14,29)</f>
        <v>0</v>
      </c>
      <c r="H21">
        <f t="shared" si="17"/>
        <v>8</v>
      </c>
      <c r="I21">
        <f t="shared" si="17"/>
        <v>15</v>
      </c>
      <c r="J21">
        <f t="shared" si="17"/>
        <v>0</v>
      </c>
      <c r="K21">
        <f t="shared" si="17"/>
        <v>16</v>
      </c>
      <c r="L21">
        <f t="shared" si="17"/>
        <v>2</v>
      </c>
      <c r="M21">
        <f t="shared" si="17"/>
        <v>16</v>
      </c>
      <c r="N21">
        <f t="shared" si="17"/>
        <v>0</v>
      </c>
      <c r="O21">
        <f t="shared" si="17"/>
        <v>15</v>
      </c>
      <c r="P21">
        <f t="shared" si="17"/>
        <v>0</v>
      </c>
      <c r="Q21">
        <f t="shared" si="17"/>
        <v>0</v>
      </c>
      <c r="R21">
        <f t="shared" si="17"/>
        <v>0</v>
      </c>
      <c r="S21">
        <f t="shared" si="17"/>
        <v>0</v>
      </c>
      <c r="T21">
        <f t="shared" si="17"/>
        <v>0</v>
      </c>
      <c r="U21">
        <f t="shared" si="17"/>
        <v>0</v>
      </c>
      <c r="V21">
        <f t="shared" si="17"/>
        <v>1</v>
      </c>
      <c r="X21">
        <v>1595</v>
      </c>
      <c r="Y21">
        <v>783</v>
      </c>
      <c r="Z21">
        <v>2088</v>
      </c>
      <c r="AA21">
        <v>1073</v>
      </c>
      <c r="AB21">
        <v>899</v>
      </c>
      <c r="AC21">
        <v>1131</v>
      </c>
      <c r="AD21">
        <v>1189</v>
      </c>
      <c r="AE21">
        <v>813</v>
      </c>
    </row>
    <row r="22" spans="1:31">
      <c r="A22" s="10">
        <v>21</v>
      </c>
      <c r="B22" s="10">
        <f t="shared" si="0"/>
        <v>18</v>
      </c>
      <c r="C22" t="str">
        <f t="shared" si="1"/>
        <v>V</v>
      </c>
    </row>
    <row r="23" spans="1:31">
      <c r="A23" s="10">
        <v>22</v>
      </c>
      <c r="B23" s="10">
        <f t="shared" si="0"/>
        <v>4</v>
      </c>
      <c r="C23" t="str">
        <f t="shared" si="1"/>
        <v>W</v>
      </c>
    </row>
    <row r="24" spans="1:31">
      <c r="A24" s="10">
        <v>23</v>
      </c>
      <c r="B24" s="10">
        <f t="shared" si="0"/>
        <v>24</v>
      </c>
      <c r="C24" t="str">
        <f t="shared" si="1"/>
        <v>X</v>
      </c>
      <c r="G24">
        <v>1</v>
      </c>
      <c r="H24">
        <v>8</v>
      </c>
      <c r="I24">
        <v>21</v>
      </c>
      <c r="J24">
        <v>0</v>
      </c>
      <c r="K24">
        <v>24</v>
      </c>
      <c r="L24">
        <v>15</v>
      </c>
      <c r="M24">
        <v>0</v>
      </c>
      <c r="N24">
        <v>10</v>
      </c>
      <c r="O24">
        <v>4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f>MOD(X14,29)</f>
        <v>1</v>
      </c>
      <c r="Y24">
        <f t="shared" ref="Y24:AE24" si="18">MOD(Y14,29)</f>
        <v>0</v>
      </c>
      <c r="Z24">
        <f t="shared" si="18"/>
        <v>0</v>
      </c>
      <c r="AA24">
        <f t="shared" si="18"/>
        <v>0</v>
      </c>
      <c r="AB24">
        <f t="shared" si="18"/>
        <v>0</v>
      </c>
      <c r="AC24">
        <f t="shared" si="18"/>
        <v>0</v>
      </c>
      <c r="AD24">
        <f t="shared" si="18"/>
        <v>0</v>
      </c>
      <c r="AE24">
        <f t="shared" si="18"/>
        <v>0</v>
      </c>
    </row>
    <row r="25" spans="1:31">
      <c r="A25" s="10">
        <v>24</v>
      </c>
      <c r="B25" s="10">
        <f t="shared" si="0"/>
        <v>23</v>
      </c>
      <c r="C25" t="str">
        <f t="shared" si="1"/>
        <v>Y</v>
      </c>
      <c r="G25">
        <v>0</v>
      </c>
      <c r="H25">
        <f>MOD(23*H15,29)</f>
        <v>1</v>
      </c>
      <c r="I25">
        <f t="shared" ref="I25:V25" si="19">MOD(23*I15,29)</f>
        <v>7</v>
      </c>
      <c r="J25">
        <f t="shared" si="19"/>
        <v>6</v>
      </c>
      <c r="K25">
        <f t="shared" si="19"/>
        <v>3</v>
      </c>
      <c r="L25">
        <f t="shared" si="19"/>
        <v>2</v>
      </c>
      <c r="M25">
        <f t="shared" si="19"/>
        <v>16</v>
      </c>
      <c r="N25">
        <f t="shared" si="19"/>
        <v>19</v>
      </c>
      <c r="O25">
        <f t="shared" si="19"/>
        <v>14</v>
      </c>
      <c r="P25">
        <f t="shared" si="19"/>
        <v>23</v>
      </c>
      <c r="Q25">
        <f t="shared" si="19"/>
        <v>0</v>
      </c>
      <c r="R25">
        <f t="shared" si="19"/>
        <v>0</v>
      </c>
      <c r="S25">
        <f t="shared" si="19"/>
        <v>0</v>
      </c>
      <c r="T25">
        <f t="shared" si="19"/>
        <v>0</v>
      </c>
      <c r="U25">
        <f t="shared" si="19"/>
        <v>0</v>
      </c>
      <c r="V25">
        <f t="shared" si="19"/>
        <v>0</v>
      </c>
      <c r="X25">
        <f t="shared" ref="X25:AE25" si="20">MOD(X15,29)</f>
        <v>0</v>
      </c>
      <c r="Y25">
        <f t="shared" si="20"/>
        <v>1</v>
      </c>
      <c r="Z25">
        <f t="shared" si="20"/>
        <v>0</v>
      </c>
      <c r="AA25">
        <f t="shared" si="20"/>
        <v>0</v>
      </c>
      <c r="AB25">
        <f t="shared" si="20"/>
        <v>0</v>
      </c>
      <c r="AC25">
        <f t="shared" si="20"/>
        <v>0</v>
      </c>
      <c r="AD25">
        <f t="shared" si="20"/>
        <v>0</v>
      </c>
      <c r="AE25">
        <f t="shared" si="20"/>
        <v>0</v>
      </c>
    </row>
    <row r="26" spans="1:31">
      <c r="A26" s="10">
        <v>25</v>
      </c>
      <c r="B26" s="10">
        <f t="shared" si="0"/>
        <v>7</v>
      </c>
      <c r="C26" t="str">
        <f t="shared" si="1"/>
        <v>Z</v>
      </c>
      <c r="D26">
        <v>18</v>
      </c>
      <c r="G26">
        <v>0</v>
      </c>
      <c r="H26">
        <f>MOD(H16-$D26*H$25,29)</f>
        <v>0</v>
      </c>
      <c r="I26">
        <f t="shared" ref="I26:V26" si="21">MOD(I16-$D26*I$25,29)</f>
        <v>23</v>
      </c>
      <c r="J26">
        <f t="shared" si="21"/>
        <v>22</v>
      </c>
      <c r="K26">
        <f t="shared" si="21"/>
        <v>24</v>
      </c>
      <c r="L26">
        <f t="shared" si="21"/>
        <v>11</v>
      </c>
      <c r="M26">
        <f t="shared" si="21"/>
        <v>27</v>
      </c>
      <c r="N26">
        <f t="shared" si="21"/>
        <v>18</v>
      </c>
      <c r="O26">
        <f t="shared" si="21"/>
        <v>10</v>
      </c>
      <c r="P26">
        <f t="shared" si="21"/>
        <v>21</v>
      </c>
      <c r="Q26">
        <f t="shared" si="21"/>
        <v>1</v>
      </c>
      <c r="R26">
        <f t="shared" si="21"/>
        <v>0</v>
      </c>
      <c r="S26">
        <f t="shared" si="21"/>
        <v>0</v>
      </c>
      <c r="T26">
        <f t="shared" si="21"/>
        <v>0</v>
      </c>
      <c r="U26">
        <f t="shared" si="21"/>
        <v>0</v>
      </c>
      <c r="V26">
        <f t="shared" si="21"/>
        <v>0</v>
      </c>
      <c r="X26">
        <f t="shared" ref="X26:AE26" si="22">MOD(X16,29)</f>
        <v>0</v>
      </c>
      <c r="Y26">
        <f t="shared" si="22"/>
        <v>0</v>
      </c>
      <c r="Z26">
        <f t="shared" si="22"/>
        <v>1</v>
      </c>
      <c r="AA26">
        <f t="shared" si="22"/>
        <v>0</v>
      </c>
      <c r="AB26">
        <f t="shared" si="22"/>
        <v>0</v>
      </c>
      <c r="AC26">
        <f t="shared" si="22"/>
        <v>0</v>
      </c>
      <c r="AD26">
        <f t="shared" si="22"/>
        <v>0</v>
      </c>
      <c r="AE26">
        <f t="shared" si="22"/>
        <v>0</v>
      </c>
    </row>
    <row r="27" spans="1:31">
      <c r="A27" s="10">
        <v>26</v>
      </c>
      <c r="B27" s="10">
        <f t="shared" si="0"/>
        <v>19</v>
      </c>
      <c r="C27" t="s">
        <v>3</v>
      </c>
      <c r="D27">
        <v>17</v>
      </c>
      <c r="G27">
        <v>0</v>
      </c>
      <c r="H27">
        <f t="shared" ref="H27:V27" si="23">MOD(H17-$D27*H$25,29)</f>
        <v>0</v>
      </c>
      <c r="I27">
        <f t="shared" si="23"/>
        <v>20</v>
      </c>
      <c r="J27">
        <f t="shared" si="23"/>
        <v>3</v>
      </c>
      <c r="K27">
        <f t="shared" si="23"/>
        <v>12</v>
      </c>
      <c r="L27">
        <f t="shared" si="23"/>
        <v>26</v>
      </c>
      <c r="M27">
        <f t="shared" si="23"/>
        <v>8</v>
      </c>
      <c r="N27">
        <f t="shared" si="23"/>
        <v>15</v>
      </c>
      <c r="O27">
        <f t="shared" si="23"/>
        <v>14</v>
      </c>
      <c r="P27">
        <f t="shared" si="23"/>
        <v>15</v>
      </c>
      <c r="Q27">
        <f t="shared" si="23"/>
        <v>0</v>
      </c>
      <c r="R27">
        <f t="shared" si="23"/>
        <v>1</v>
      </c>
      <c r="S27">
        <f t="shared" si="23"/>
        <v>0</v>
      </c>
      <c r="T27">
        <f t="shared" si="23"/>
        <v>0</v>
      </c>
      <c r="U27">
        <f t="shared" si="23"/>
        <v>0</v>
      </c>
      <c r="V27">
        <f t="shared" si="23"/>
        <v>0</v>
      </c>
      <c r="X27">
        <f t="shared" ref="X27:AE27" si="24">MOD(X17,29)</f>
        <v>0</v>
      </c>
      <c r="Y27">
        <f t="shared" si="24"/>
        <v>0</v>
      </c>
      <c r="Z27">
        <f t="shared" si="24"/>
        <v>0</v>
      </c>
      <c r="AA27">
        <f t="shared" si="24"/>
        <v>1</v>
      </c>
      <c r="AB27">
        <f t="shared" si="24"/>
        <v>0</v>
      </c>
      <c r="AC27">
        <f t="shared" si="24"/>
        <v>0</v>
      </c>
      <c r="AD27">
        <f t="shared" si="24"/>
        <v>0</v>
      </c>
      <c r="AE27">
        <f t="shared" si="24"/>
        <v>0</v>
      </c>
    </row>
    <row r="28" spans="1:31">
      <c r="A28" s="10">
        <v>27</v>
      </c>
      <c r="B28" s="10">
        <f t="shared" si="0"/>
        <v>14</v>
      </c>
      <c r="C28" t="s">
        <v>0</v>
      </c>
      <c r="D28">
        <v>3</v>
      </c>
      <c r="G28">
        <v>0</v>
      </c>
      <c r="H28">
        <f t="shared" ref="H28:V28" si="25">MOD(H18-$D28*H$25,29)</f>
        <v>0</v>
      </c>
      <c r="I28">
        <f t="shared" si="25"/>
        <v>16</v>
      </c>
      <c r="J28">
        <f t="shared" si="25"/>
        <v>9</v>
      </c>
      <c r="K28">
        <f t="shared" si="25"/>
        <v>14</v>
      </c>
      <c r="L28">
        <f t="shared" si="25"/>
        <v>7</v>
      </c>
      <c r="M28">
        <f t="shared" si="25"/>
        <v>8</v>
      </c>
      <c r="N28">
        <f t="shared" si="25"/>
        <v>17</v>
      </c>
      <c r="O28">
        <f t="shared" si="25"/>
        <v>15</v>
      </c>
      <c r="P28">
        <f t="shared" si="25"/>
        <v>18</v>
      </c>
      <c r="Q28">
        <f t="shared" si="25"/>
        <v>0</v>
      </c>
      <c r="R28">
        <f t="shared" si="25"/>
        <v>0</v>
      </c>
      <c r="S28">
        <f t="shared" si="25"/>
        <v>1</v>
      </c>
      <c r="T28">
        <f t="shared" si="25"/>
        <v>0</v>
      </c>
      <c r="U28">
        <f t="shared" si="25"/>
        <v>0</v>
      </c>
      <c r="V28">
        <f t="shared" si="25"/>
        <v>0</v>
      </c>
      <c r="X28">
        <f t="shared" ref="X28:AE28" si="26">MOD(X18,29)</f>
        <v>0</v>
      </c>
      <c r="Y28">
        <f t="shared" si="26"/>
        <v>0</v>
      </c>
      <c r="Z28">
        <f t="shared" si="26"/>
        <v>0</v>
      </c>
      <c r="AA28">
        <f t="shared" si="26"/>
        <v>0</v>
      </c>
      <c r="AB28">
        <f t="shared" si="26"/>
        <v>1</v>
      </c>
      <c r="AC28">
        <f t="shared" si="26"/>
        <v>0</v>
      </c>
      <c r="AD28">
        <f t="shared" si="26"/>
        <v>0</v>
      </c>
      <c r="AE28">
        <f t="shared" si="26"/>
        <v>0</v>
      </c>
    </row>
    <row r="29" spans="1:31">
      <c r="A29" s="10">
        <v>28</v>
      </c>
      <c r="B29" s="10">
        <f t="shared" si="0"/>
        <v>28</v>
      </c>
      <c r="C29" t="s">
        <v>1</v>
      </c>
      <c r="D29">
        <v>28</v>
      </c>
      <c r="G29">
        <v>0</v>
      </c>
      <c r="H29">
        <f t="shared" ref="H29:V29" si="27">MOD(H19-$D29*H$25,29)</f>
        <v>0</v>
      </c>
      <c r="I29">
        <f t="shared" si="27"/>
        <v>14</v>
      </c>
      <c r="J29">
        <f t="shared" si="27"/>
        <v>11</v>
      </c>
      <c r="K29">
        <f t="shared" si="27"/>
        <v>1</v>
      </c>
      <c r="L29">
        <f t="shared" si="27"/>
        <v>15</v>
      </c>
      <c r="M29">
        <f t="shared" si="27"/>
        <v>18</v>
      </c>
      <c r="N29">
        <f t="shared" si="27"/>
        <v>5</v>
      </c>
      <c r="O29">
        <f t="shared" si="27"/>
        <v>18</v>
      </c>
      <c r="P29">
        <f t="shared" si="27"/>
        <v>23</v>
      </c>
      <c r="Q29">
        <f t="shared" si="27"/>
        <v>0</v>
      </c>
      <c r="R29">
        <f t="shared" si="27"/>
        <v>0</v>
      </c>
      <c r="S29">
        <f t="shared" si="27"/>
        <v>0</v>
      </c>
      <c r="T29">
        <f t="shared" si="27"/>
        <v>1</v>
      </c>
      <c r="U29">
        <f t="shared" si="27"/>
        <v>0</v>
      </c>
      <c r="V29">
        <f t="shared" si="27"/>
        <v>0</v>
      </c>
      <c r="X29">
        <f t="shared" ref="X29:AE29" si="28">MOD(X19,29)</f>
        <v>0</v>
      </c>
      <c r="Y29">
        <f t="shared" si="28"/>
        <v>0</v>
      </c>
      <c r="Z29">
        <f t="shared" si="28"/>
        <v>0</v>
      </c>
      <c r="AA29">
        <f t="shared" si="28"/>
        <v>0</v>
      </c>
      <c r="AB29">
        <f t="shared" si="28"/>
        <v>0</v>
      </c>
      <c r="AC29">
        <f t="shared" si="28"/>
        <v>1</v>
      </c>
      <c r="AD29">
        <f t="shared" si="28"/>
        <v>0</v>
      </c>
      <c r="AE29">
        <f t="shared" si="28"/>
        <v>0</v>
      </c>
    </row>
    <row r="30" spans="1:31">
      <c r="D30">
        <v>5</v>
      </c>
      <c r="G30">
        <v>0</v>
      </c>
      <c r="H30">
        <f t="shared" ref="H30:V30" si="29">MOD(H20-$D30*H$25,29)</f>
        <v>0</v>
      </c>
      <c r="I30">
        <f t="shared" si="29"/>
        <v>1</v>
      </c>
      <c r="J30">
        <f t="shared" si="29"/>
        <v>8</v>
      </c>
      <c r="K30">
        <f t="shared" si="29"/>
        <v>24</v>
      </c>
      <c r="L30">
        <f t="shared" si="29"/>
        <v>5</v>
      </c>
      <c r="M30">
        <f t="shared" si="29"/>
        <v>25</v>
      </c>
      <c r="N30">
        <f t="shared" si="29"/>
        <v>4</v>
      </c>
      <c r="O30">
        <f t="shared" si="29"/>
        <v>23</v>
      </c>
      <c r="P30">
        <f t="shared" si="29"/>
        <v>1</v>
      </c>
      <c r="Q30">
        <f t="shared" si="29"/>
        <v>0</v>
      </c>
      <c r="R30">
        <f t="shared" si="29"/>
        <v>0</v>
      </c>
      <c r="S30">
        <f t="shared" si="29"/>
        <v>0</v>
      </c>
      <c r="T30">
        <f t="shared" si="29"/>
        <v>0</v>
      </c>
      <c r="U30">
        <f t="shared" si="29"/>
        <v>1</v>
      </c>
      <c r="V30">
        <f t="shared" si="29"/>
        <v>0</v>
      </c>
      <c r="X30">
        <f t="shared" ref="X30:AE30" si="30">MOD(X20,29)</f>
        <v>0</v>
      </c>
      <c r="Y30">
        <f t="shared" si="30"/>
        <v>0</v>
      </c>
      <c r="Z30">
        <f t="shared" si="30"/>
        <v>0</v>
      </c>
      <c r="AA30">
        <f t="shared" si="30"/>
        <v>0</v>
      </c>
      <c r="AB30">
        <f t="shared" si="30"/>
        <v>0</v>
      </c>
      <c r="AC30">
        <f t="shared" si="30"/>
        <v>0</v>
      </c>
      <c r="AD30">
        <f t="shared" si="30"/>
        <v>1</v>
      </c>
      <c r="AE30">
        <f t="shared" si="30"/>
        <v>0</v>
      </c>
    </row>
    <row r="31" spans="1:31">
      <c r="D31">
        <v>8</v>
      </c>
      <c r="G31">
        <v>0</v>
      </c>
      <c r="H31">
        <f t="shared" ref="H31:V31" si="31">MOD(H21-$D31*H$25,29)</f>
        <v>0</v>
      </c>
      <c r="I31">
        <f t="shared" si="31"/>
        <v>17</v>
      </c>
      <c r="J31">
        <f t="shared" si="31"/>
        <v>10</v>
      </c>
      <c r="K31">
        <f t="shared" si="31"/>
        <v>21</v>
      </c>
      <c r="L31">
        <f t="shared" si="31"/>
        <v>15</v>
      </c>
      <c r="M31">
        <f t="shared" si="31"/>
        <v>4</v>
      </c>
      <c r="N31">
        <f t="shared" si="31"/>
        <v>22</v>
      </c>
      <c r="O31">
        <f t="shared" si="31"/>
        <v>19</v>
      </c>
      <c r="P31">
        <f t="shared" si="31"/>
        <v>19</v>
      </c>
      <c r="Q31">
        <f t="shared" si="31"/>
        <v>0</v>
      </c>
      <c r="R31">
        <f t="shared" si="31"/>
        <v>0</v>
      </c>
      <c r="S31">
        <f t="shared" si="31"/>
        <v>0</v>
      </c>
      <c r="T31">
        <f t="shared" si="31"/>
        <v>0</v>
      </c>
      <c r="U31">
        <f t="shared" si="31"/>
        <v>0</v>
      </c>
      <c r="V31">
        <f t="shared" si="31"/>
        <v>1</v>
      </c>
      <c r="X31">
        <f t="shared" ref="X31:AE31" si="32">MOD(X21,29)</f>
        <v>0</v>
      </c>
      <c r="Y31">
        <f t="shared" si="32"/>
        <v>0</v>
      </c>
      <c r="Z31">
        <f t="shared" si="32"/>
        <v>0</v>
      </c>
      <c r="AA31">
        <f t="shared" si="32"/>
        <v>0</v>
      </c>
      <c r="AB31">
        <f t="shared" si="32"/>
        <v>0</v>
      </c>
      <c r="AC31">
        <f t="shared" si="32"/>
        <v>0</v>
      </c>
      <c r="AD31">
        <f t="shared" si="32"/>
        <v>0</v>
      </c>
      <c r="AE31">
        <f t="shared" si="32"/>
        <v>1</v>
      </c>
    </row>
    <row r="37" spans="4:22">
      <c r="G37">
        <v>1</v>
      </c>
      <c r="H37">
        <v>8</v>
      </c>
      <c r="I37">
        <v>21</v>
      </c>
      <c r="J37">
        <v>0</v>
      </c>
      <c r="K37">
        <v>24</v>
      </c>
      <c r="L37">
        <v>15</v>
      </c>
      <c r="M37">
        <v>0</v>
      </c>
      <c r="N37">
        <v>10</v>
      </c>
      <c r="O37" s="12">
        <v>4</v>
      </c>
      <c r="P37" s="10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4:22">
      <c r="G38">
        <v>0</v>
      </c>
      <c r="H38">
        <v>1</v>
      </c>
      <c r="I38">
        <v>7</v>
      </c>
      <c r="J38">
        <v>6</v>
      </c>
      <c r="K38">
        <v>3</v>
      </c>
      <c r="L38">
        <v>2</v>
      </c>
      <c r="M38">
        <v>16</v>
      </c>
      <c r="N38">
        <v>19</v>
      </c>
      <c r="O38" s="12">
        <v>14</v>
      </c>
      <c r="P38" s="10">
        <v>23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4:22">
      <c r="G39">
        <v>0</v>
      </c>
      <c r="H39">
        <v>0</v>
      </c>
      <c r="I39">
        <v>1</v>
      </c>
      <c r="J39">
        <v>6</v>
      </c>
      <c r="K39">
        <v>25</v>
      </c>
      <c r="L39">
        <v>3</v>
      </c>
      <c r="M39">
        <v>10</v>
      </c>
      <c r="N39">
        <v>26</v>
      </c>
      <c r="O39" s="12">
        <v>8</v>
      </c>
      <c r="P39" s="10">
        <v>11</v>
      </c>
      <c r="Q39">
        <v>24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4:22">
      <c r="G40">
        <v>0</v>
      </c>
      <c r="H40">
        <v>0</v>
      </c>
      <c r="I40">
        <v>0</v>
      </c>
      <c r="J40">
        <v>1</v>
      </c>
      <c r="K40">
        <v>24</v>
      </c>
      <c r="L40">
        <v>5</v>
      </c>
      <c r="M40">
        <v>18</v>
      </c>
      <c r="N40">
        <v>12</v>
      </c>
      <c r="O40" s="12">
        <v>1</v>
      </c>
      <c r="P40" s="10">
        <v>2</v>
      </c>
      <c r="Q40">
        <v>16</v>
      </c>
      <c r="R40">
        <v>28</v>
      </c>
      <c r="S40">
        <v>0</v>
      </c>
      <c r="T40">
        <v>0</v>
      </c>
      <c r="U40">
        <v>0</v>
      </c>
      <c r="V40">
        <v>0</v>
      </c>
    </row>
    <row r="41" spans="4:22">
      <c r="G41">
        <v>0</v>
      </c>
      <c r="H41">
        <v>0</v>
      </c>
      <c r="I41">
        <v>0</v>
      </c>
      <c r="J41">
        <v>0</v>
      </c>
      <c r="K41">
        <v>1</v>
      </c>
      <c r="L41">
        <v>11</v>
      </c>
      <c r="M41">
        <v>4</v>
      </c>
      <c r="N41">
        <v>25</v>
      </c>
      <c r="O41" s="12">
        <v>19</v>
      </c>
      <c r="P41" s="10">
        <v>24</v>
      </c>
      <c r="Q41">
        <v>4</v>
      </c>
      <c r="R41">
        <v>0</v>
      </c>
      <c r="S41">
        <v>16</v>
      </c>
      <c r="T41">
        <v>0</v>
      </c>
      <c r="U41">
        <v>0</v>
      </c>
      <c r="V41">
        <v>0</v>
      </c>
    </row>
    <row r="42" spans="4:22"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24</v>
      </c>
      <c r="N42">
        <v>9</v>
      </c>
      <c r="O42" s="12">
        <v>25</v>
      </c>
      <c r="P42" s="10">
        <v>5</v>
      </c>
      <c r="Q42">
        <v>19</v>
      </c>
      <c r="R42">
        <v>1</v>
      </c>
      <c r="S42">
        <v>4</v>
      </c>
      <c r="T42">
        <v>27</v>
      </c>
      <c r="U42">
        <v>0</v>
      </c>
      <c r="V42">
        <v>0</v>
      </c>
    </row>
    <row r="43" spans="4:22"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10</v>
      </c>
      <c r="O43" s="12">
        <v>15</v>
      </c>
      <c r="P43" s="10">
        <v>6</v>
      </c>
      <c r="Q43">
        <v>5</v>
      </c>
      <c r="R43">
        <v>3</v>
      </c>
      <c r="S43">
        <v>15</v>
      </c>
      <c r="T43">
        <v>13</v>
      </c>
      <c r="U43">
        <v>12</v>
      </c>
      <c r="V43">
        <v>0</v>
      </c>
    </row>
    <row r="44" spans="4:22"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1</v>
      </c>
      <c r="O44" s="12">
        <v>28</v>
      </c>
      <c r="P44" s="10">
        <v>4</v>
      </c>
      <c r="Q44">
        <v>18</v>
      </c>
      <c r="R44">
        <v>3</v>
      </c>
      <c r="S44">
        <v>13</v>
      </c>
      <c r="T44">
        <v>2</v>
      </c>
      <c r="U44">
        <v>23</v>
      </c>
      <c r="V44">
        <v>20</v>
      </c>
    </row>
    <row r="47" spans="4:22">
      <c r="D47">
        <v>10</v>
      </c>
      <c r="G47">
        <f t="shared" ref="G47:V47" si="33">MOD(G37-$D47*G$44,29)</f>
        <v>1</v>
      </c>
      <c r="H47">
        <f t="shared" si="33"/>
        <v>8</v>
      </c>
      <c r="I47">
        <f t="shared" si="33"/>
        <v>21</v>
      </c>
      <c r="J47">
        <f t="shared" si="33"/>
        <v>0</v>
      </c>
      <c r="K47">
        <f t="shared" si="33"/>
        <v>24</v>
      </c>
      <c r="L47">
        <f t="shared" si="33"/>
        <v>15</v>
      </c>
      <c r="M47">
        <f t="shared" si="33"/>
        <v>0</v>
      </c>
      <c r="N47">
        <f t="shared" si="33"/>
        <v>0</v>
      </c>
      <c r="O47">
        <f t="shared" si="33"/>
        <v>14</v>
      </c>
      <c r="P47">
        <f t="shared" si="33"/>
        <v>18</v>
      </c>
      <c r="Q47">
        <f t="shared" si="33"/>
        <v>23</v>
      </c>
      <c r="R47">
        <f t="shared" si="33"/>
        <v>28</v>
      </c>
      <c r="S47">
        <f t="shared" si="33"/>
        <v>15</v>
      </c>
      <c r="T47">
        <f t="shared" si="33"/>
        <v>9</v>
      </c>
      <c r="U47">
        <f t="shared" si="33"/>
        <v>2</v>
      </c>
      <c r="V47">
        <f t="shared" si="33"/>
        <v>3</v>
      </c>
    </row>
    <row r="48" spans="4:22">
      <c r="D48">
        <v>19</v>
      </c>
      <c r="G48">
        <f t="shared" ref="G48:V48" si="34">MOD(G38-$D48*G$44,29)</f>
        <v>0</v>
      </c>
      <c r="H48">
        <f t="shared" si="34"/>
        <v>1</v>
      </c>
      <c r="I48">
        <f t="shared" si="34"/>
        <v>7</v>
      </c>
      <c r="J48">
        <f t="shared" si="34"/>
        <v>6</v>
      </c>
      <c r="K48">
        <f t="shared" si="34"/>
        <v>3</v>
      </c>
      <c r="L48">
        <f t="shared" si="34"/>
        <v>2</v>
      </c>
      <c r="M48">
        <f t="shared" si="34"/>
        <v>16</v>
      </c>
      <c r="N48">
        <f t="shared" si="34"/>
        <v>0</v>
      </c>
      <c r="O48">
        <f t="shared" si="34"/>
        <v>4</v>
      </c>
      <c r="P48">
        <f t="shared" si="34"/>
        <v>5</v>
      </c>
      <c r="Q48">
        <f t="shared" si="34"/>
        <v>6</v>
      </c>
      <c r="R48">
        <f t="shared" si="34"/>
        <v>1</v>
      </c>
      <c r="S48">
        <f t="shared" si="34"/>
        <v>14</v>
      </c>
      <c r="T48">
        <f t="shared" si="34"/>
        <v>20</v>
      </c>
      <c r="U48">
        <f t="shared" si="34"/>
        <v>27</v>
      </c>
      <c r="V48">
        <f t="shared" si="34"/>
        <v>26</v>
      </c>
    </row>
    <row r="49" spans="4:22">
      <c r="D49">
        <v>26</v>
      </c>
      <c r="G49">
        <f t="shared" ref="G49:V49" si="35">MOD(G39-$D49*G$44,29)</f>
        <v>0</v>
      </c>
      <c r="H49">
        <f t="shared" si="35"/>
        <v>0</v>
      </c>
      <c r="I49">
        <f t="shared" si="35"/>
        <v>1</v>
      </c>
      <c r="J49">
        <f t="shared" si="35"/>
        <v>6</v>
      </c>
      <c r="K49">
        <f t="shared" si="35"/>
        <v>25</v>
      </c>
      <c r="L49">
        <f t="shared" si="35"/>
        <v>3</v>
      </c>
      <c r="M49">
        <f t="shared" si="35"/>
        <v>10</v>
      </c>
      <c r="N49">
        <f t="shared" si="35"/>
        <v>0</v>
      </c>
      <c r="O49">
        <f t="shared" si="35"/>
        <v>5</v>
      </c>
      <c r="P49">
        <f t="shared" si="35"/>
        <v>23</v>
      </c>
      <c r="Q49">
        <f t="shared" si="35"/>
        <v>20</v>
      </c>
      <c r="R49">
        <f t="shared" si="35"/>
        <v>9</v>
      </c>
      <c r="S49">
        <f t="shared" si="35"/>
        <v>10</v>
      </c>
      <c r="T49">
        <f t="shared" si="35"/>
        <v>6</v>
      </c>
      <c r="U49">
        <f t="shared" si="35"/>
        <v>11</v>
      </c>
      <c r="V49">
        <f t="shared" si="35"/>
        <v>2</v>
      </c>
    </row>
    <row r="50" spans="4:22">
      <c r="D50">
        <v>12</v>
      </c>
      <c r="G50">
        <f t="shared" ref="G50:V50" si="36">MOD(G40-$D50*G$44,29)</f>
        <v>0</v>
      </c>
      <c r="H50">
        <f t="shared" si="36"/>
        <v>0</v>
      </c>
      <c r="I50">
        <f t="shared" si="36"/>
        <v>0</v>
      </c>
      <c r="J50">
        <f t="shared" si="36"/>
        <v>1</v>
      </c>
      <c r="K50">
        <f t="shared" si="36"/>
        <v>24</v>
      </c>
      <c r="L50">
        <f t="shared" si="36"/>
        <v>5</v>
      </c>
      <c r="M50">
        <f t="shared" si="36"/>
        <v>18</v>
      </c>
      <c r="N50">
        <f t="shared" si="36"/>
        <v>0</v>
      </c>
      <c r="O50">
        <f t="shared" si="36"/>
        <v>13</v>
      </c>
      <c r="P50">
        <f t="shared" si="36"/>
        <v>12</v>
      </c>
      <c r="Q50">
        <f t="shared" si="36"/>
        <v>3</v>
      </c>
      <c r="R50">
        <f t="shared" si="36"/>
        <v>21</v>
      </c>
      <c r="S50">
        <f t="shared" si="36"/>
        <v>18</v>
      </c>
      <c r="T50">
        <f t="shared" si="36"/>
        <v>5</v>
      </c>
      <c r="U50">
        <f t="shared" si="36"/>
        <v>14</v>
      </c>
      <c r="V50">
        <f t="shared" si="36"/>
        <v>21</v>
      </c>
    </row>
    <row r="51" spans="4:22">
      <c r="D51">
        <v>25</v>
      </c>
      <c r="G51">
        <f t="shared" ref="G51:V51" si="37">MOD(G41-$D51*G$44,29)</f>
        <v>0</v>
      </c>
      <c r="H51">
        <f t="shared" si="37"/>
        <v>0</v>
      </c>
      <c r="I51">
        <f t="shared" si="37"/>
        <v>0</v>
      </c>
      <c r="J51">
        <f t="shared" si="37"/>
        <v>0</v>
      </c>
      <c r="K51">
        <f t="shared" si="37"/>
        <v>1</v>
      </c>
      <c r="L51">
        <f t="shared" si="37"/>
        <v>11</v>
      </c>
      <c r="M51">
        <f t="shared" si="37"/>
        <v>4</v>
      </c>
      <c r="N51">
        <f t="shared" si="37"/>
        <v>0</v>
      </c>
      <c r="O51">
        <f t="shared" si="37"/>
        <v>15</v>
      </c>
      <c r="P51">
        <f t="shared" si="37"/>
        <v>11</v>
      </c>
      <c r="Q51">
        <f t="shared" si="37"/>
        <v>18</v>
      </c>
      <c r="R51">
        <f t="shared" si="37"/>
        <v>12</v>
      </c>
      <c r="S51">
        <f t="shared" si="37"/>
        <v>10</v>
      </c>
      <c r="T51">
        <f t="shared" si="37"/>
        <v>8</v>
      </c>
      <c r="U51">
        <f t="shared" si="37"/>
        <v>5</v>
      </c>
      <c r="V51">
        <f t="shared" si="37"/>
        <v>22</v>
      </c>
    </row>
    <row r="52" spans="4:22">
      <c r="D52">
        <v>9</v>
      </c>
      <c r="G52">
        <f t="shared" ref="G52:V52" si="38">MOD(G42-$D52*G$44,29)</f>
        <v>0</v>
      </c>
      <c r="H52">
        <f t="shared" si="38"/>
        <v>0</v>
      </c>
      <c r="I52">
        <f t="shared" si="38"/>
        <v>0</v>
      </c>
      <c r="J52">
        <f t="shared" si="38"/>
        <v>0</v>
      </c>
      <c r="K52">
        <f t="shared" si="38"/>
        <v>0</v>
      </c>
      <c r="L52">
        <f t="shared" si="38"/>
        <v>1</v>
      </c>
      <c r="M52">
        <f t="shared" si="38"/>
        <v>24</v>
      </c>
      <c r="N52">
        <f t="shared" si="38"/>
        <v>0</v>
      </c>
      <c r="O52">
        <f t="shared" si="38"/>
        <v>5</v>
      </c>
      <c r="P52">
        <f t="shared" si="38"/>
        <v>27</v>
      </c>
      <c r="Q52">
        <f t="shared" si="38"/>
        <v>2</v>
      </c>
      <c r="R52">
        <f t="shared" si="38"/>
        <v>3</v>
      </c>
      <c r="S52">
        <f t="shared" si="38"/>
        <v>3</v>
      </c>
      <c r="T52">
        <f t="shared" si="38"/>
        <v>9</v>
      </c>
      <c r="U52">
        <f t="shared" si="38"/>
        <v>25</v>
      </c>
      <c r="V52">
        <f t="shared" si="38"/>
        <v>23</v>
      </c>
    </row>
    <row r="53" spans="4:22">
      <c r="D53">
        <v>10</v>
      </c>
      <c r="G53">
        <f>MOD(G43-$D53*G$44,29)</f>
        <v>0</v>
      </c>
      <c r="H53">
        <f t="shared" ref="H53:V53" si="39">MOD(H43-$D53*H$44,29)</f>
        <v>0</v>
      </c>
      <c r="I53">
        <f t="shared" si="39"/>
        <v>0</v>
      </c>
      <c r="J53">
        <f t="shared" si="39"/>
        <v>0</v>
      </c>
      <c r="K53">
        <f t="shared" si="39"/>
        <v>0</v>
      </c>
      <c r="L53">
        <f t="shared" si="39"/>
        <v>0</v>
      </c>
      <c r="M53">
        <f t="shared" si="39"/>
        <v>1</v>
      </c>
      <c r="N53">
        <f t="shared" si="39"/>
        <v>0</v>
      </c>
      <c r="O53">
        <f t="shared" si="39"/>
        <v>25</v>
      </c>
      <c r="P53">
        <f t="shared" si="39"/>
        <v>24</v>
      </c>
      <c r="Q53">
        <f t="shared" si="39"/>
        <v>28</v>
      </c>
      <c r="R53">
        <f t="shared" si="39"/>
        <v>2</v>
      </c>
      <c r="S53">
        <f t="shared" si="39"/>
        <v>1</v>
      </c>
      <c r="T53">
        <f t="shared" si="39"/>
        <v>22</v>
      </c>
      <c r="U53">
        <f t="shared" si="39"/>
        <v>14</v>
      </c>
      <c r="V53">
        <f t="shared" si="39"/>
        <v>3</v>
      </c>
    </row>
    <row r="54" spans="4:22">
      <c r="D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</v>
      </c>
      <c r="O54" s="12">
        <v>28</v>
      </c>
      <c r="P54" s="10">
        <v>4</v>
      </c>
      <c r="Q54">
        <v>18</v>
      </c>
      <c r="R54">
        <v>3</v>
      </c>
      <c r="S54">
        <v>13</v>
      </c>
      <c r="T54">
        <v>2</v>
      </c>
      <c r="U54">
        <v>23</v>
      </c>
      <c r="V54">
        <v>20</v>
      </c>
    </row>
    <row r="57" spans="4:22">
      <c r="D57">
        <v>0</v>
      </c>
      <c r="G57">
        <f t="shared" ref="G57:V57" si="40">MOD(G47-$D57*G$53,29)</f>
        <v>1</v>
      </c>
      <c r="H57">
        <f t="shared" si="40"/>
        <v>8</v>
      </c>
      <c r="I57">
        <f t="shared" si="40"/>
        <v>21</v>
      </c>
      <c r="J57">
        <f t="shared" si="40"/>
        <v>0</v>
      </c>
      <c r="K57">
        <f t="shared" si="40"/>
        <v>24</v>
      </c>
      <c r="L57">
        <f t="shared" si="40"/>
        <v>15</v>
      </c>
      <c r="M57">
        <f t="shared" si="40"/>
        <v>0</v>
      </c>
      <c r="N57">
        <f t="shared" si="40"/>
        <v>0</v>
      </c>
      <c r="O57">
        <f t="shared" si="40"/>
        <v>14</v>
      </c>
      <c r="P57">
        <f t="shared" si="40"/>
        <v>18</v>
      </c>
      <c r="Q57">
        <f t="shared" si="40"/>
        <v>23</v>
      </c>
      <c r="R57">
        <f t="shared" si="40"/>
        <v>28</v>
      </c>
      <c r="S57">
        <f t="shared" si="40"/>
        <v>15</v>
      </c>
      <c r="T57">
        <f t="shared" si="40"/>
        <v>9</v>
      </c>
      <c r="U57">
        <f t="shared" si="40"/>
        <v>2</v>
      </c>
      <c r="V57">
        <f t="shared" si="40"/>
        <v>3</v>
      </c>
    </row>
    <row r="58" spans="4:22">
      <c r="D58">
        <v>16</v>
      </c>
      <c r="G58">
        <f t="shared" ref="G58:V58" si="41">MOD(G48-$D58*G$53,29)</f>
        <v>0</v>
      </c>
      <c r="H58">
        <f t="shared" si="41"/>
        <v>1</v>
      </c>
      <c r="I58">
        <f t="shared" si="41"/>
        <v>7</v>
      </c>
      <c r="J58">
        <f t="shared" si="41"/>
        <v>6</v>
      </c>
      <c r="K58">
        <f t="shared" si="41"/>
        <v>3</v>
      </c>
      <c r="L58">
        <f t="shared" si="41"/>
        <v>2</v>
      </c>
      <c r="M58">
        <f t="shared" si="41"/>
        <v>0</v>
      </c>
      <c r="N58">
        <f t="shared" si="41"/>
        <v>0</v>
      </c>
      <c r="O58">
        <f t="shared" si="41"/>
        <v>10</v>
      </c>
      <c r="P58">
        <f t="shared" si="41"/>
        <v>27</v>
      </c>
      <c r="Q58">
        <f t="shared" si="41"/>
        <v>22</v>
      </c>
      <c r="R58">
        <f t="shared" si="41"/>
        <v>27</v>
      </c>
      <c r="S58">
        <f t="shared" si="41"/>
        <v>27</v>
      </c>
      <c r="T58">
        <f t="shared" si="41"/>
        <v>16</v>
      </c>
      <c r="U58">
        <f t="shared" si="41"/>
        <v>6</v>
      </c>
      <c r="V58">
        <f t="shared" si="41"/>
        <v>7</v>
      </c>
    </row>
    <row r="59" spans="4:22">
      <c r="D59">
        <v>10</v>
      </c>
      <c r="G59">
        <f t="shared" ref="G59:V59" si="42">MOD(G49-$D59*G$53,29)</f>
        <v>0</v>
      </c>
      <c r="H59">
        <f t="shared" si="42"/>
        <v>0</v>
      </c>
      <c r="I59">
        <f t="shared" si="42"/>
        <v>1</v>
      </c>
      <c r="J59">
        <f t="shared" si="42"/>
        <v>6</v>
      </c>
      <c r="K59">
        <f t="shared" si="42"/>
        <v>25</v>
      </c>
      <c r="L59">
        <f t="shared" si="42"/>
        <v>3</v>
      </c>
      <c r="M59">
        <f t="shared" si="42"/>
        <v>0</v>
      </c>
      <c r="N59">
        <f t="shared" si="42"/>
        <v>0</v>
      </c>
      <c r="O59">
        <f t="shared" si="42"/>
        <v>16</v>
      </c>
      <c r="P59">
        <f t="shared" si="42"/>
        <v>15</v>
      </c>
      <c r="Q59">
        <f t="shared" si="42"/>
        <v>1</v>
      </c>
      <c r="R59">
        <f t="shared" si="42"/>
        <v>18</v>
      </c>
      <c r="S59">
        <f t="shared" si="42"/>
        <v>0</v>
      </c>
      <c r="T59">
        <f t="shared" si="42"/>
        <v>18</v>
      </c>
      <c r="U59">
        <f t="shared" si="42"/>
        <v>16</v>
      </c>
      <c r="V59">
        <f t="shared" si="42"/>
        <v>1</v>
      </c>
    </row>
    <row r="60" spans="4:22">
      <c r="D60">
        <v>18</v>
      </c>
      <c r="G60">
        <f t="shared" ref="G60:V60" si="43">MOD(G50-$D60*G$53,29)</f>
        <v>0</v>
      </c>
      <c r="H60">
        <f t="shared" si="43"/>
        <v>0</v>
      </c>
      <c r="I60">
        <f t="shared" si="43"/>
        <v>0</v>
      </c>
      <c r="J60">
        <f t="shared" si="43"/>
        <v>1</v>
      </c>
      <c r="K60">
        <f t="shared" si="43"/>
        <v>24</v>
      </c>
      <c r="L60">
        <f t="shared" si="43"/>
        <v>5</v>
      </c>
      <c r="M60">
        <f t="shared" si="43"/>
        <v>0</v>
      </c>
      <c r="N60">
        <f t="shared" si="43"/>
        <v>0</v>
      </c>
      <c r="O60">
        <f t="shared" si="43"/>
        <v>27</v>
      </c>
      <c r="P60">
        <f t="shared" si="43"/>
        <v>15</v>
      </c>
      <c r="Q60">
        <f t="shared" si="43"/>
        <v>21</v>
      </c>
      <c r="R60">
        <f t="shared" si="43"/>
        <v>14</v>
      </c>
      <c r="S60">
        <f t="shared" si="43"/>
        <v>0</v>
      </c>
      <c r="T60">
        <f t="shared" si="43"/>
        <v>15</v>
      </c>
      <c r="U60">
        <f t="shared" si="43"/>
        <v>23</v>
      </c>
      <c r="V60">
        <f t="shared" si="43"/>
        <v>25</v>
      </c>
    </row>
    <row r="61" spans="4:22">
      <c r="D61">
        <v>4</v>
      </c>
      <c r="G61">
        <f t="shared" ref="G61:V61" si="44">MOD(G51-$D61*G$53,29)</f>
        <v>0</v>
      </c>
      <c r="H61">
        <f t="shared" si="44"/>
        <v>0</v>
      </c>
      <c r="I61">
        <f t="shared" si="44"/>
        <v>0</v>
      </c>
      <c r="J61">
        <f t="shared" si="44"/>
        <v>0</v>
      </c>
      <c r="K61">
        <f t="shared" si="44"/>
        <v>1</v>
      </c>
      <c r="L61">
        <f t="shared" si="44"/>
        <v>11</v>
      </c>
      <c r="M61">
        <f t="shared" si="44"/>
        <v>0</v>
      </c>
      <c r="N61">
        <f t="shared" si="44"/>
        <v>0</v>
      </c>
      <c r="O61">
        <f t="shared" si="44"/>
        <v>2</v>
      </c>
      <c r="P61">
        <f t="shared" si="44"/>
        <v>2</v>
      </c>
      <c r="Q61">
        <f t="shared" si="44"/>
        <v>22</v>
      </c>
      <c r="R61">
        <f t="shared" si="44"/>
        <v>4</v>
      </c>
      <c r="S61">
        <f t="shared" si="44"/>
        <v>6</v>
      </c>
      <c r="T61">
        <f t="shared" si="44"/>
        <v>7</v>
      </c>
      <c r="U61">
        <f t="shared" si="44"/>
        <v>7</v>
      </c>
      <c r="V61">
        <f t="shared" si="44"/>
        <v>10</v>
      </c>
    </row>
    <row r="62" spans="4:22">
      <c r="D62">
        <v>24</v>
      </c>
      <c r="G62">
        <f>MOD(G52-$D62*G$53,29)</f>
        <v>0</v>
      </c>
      <c r="H62">
        <f t="shared" ref="H62:V62" si="45">MOD(H52-$D62*H$53,29)</f>
        <v>0</v>
      </c>
      <c r="I62">
        <f t="shared" si="45"/>
        <v>0</v>
      </c>
      <c r="J62">
        <f t="shared" si="45"/>
        <v>0</v>
      </c>
      <c r="K62">
        <f t="shared" si="45"/>
        <v>0</v>
      </c>
      <c r="L62">
        <f t="shared" si="45"/>
        <v>1</v>
      </c>
      <c r="M62">
        <f t="shared" si="45"/>
        <v>0</v>
      </c>
      <c r="N62">
        <f t="shared" si="45"/>
        <v>0</v>
      </c>
      <c r="O62">
        <f t="shared" si="45"/>
        <v>14</v>
      </c>
      <c r="P62">
        <f t="shared" si="45"/>
        <v>2</v>
      </c>
      <c r="Q62">
        <f t="shared" si="45"/>
        <v>26</v>
      </c>
      <c r="R62">
        <f t="shared" si="45"/>
        <v>13</v>
      </c>
      <c r="S62">
        <f t="shared" si="45"/>
        <v>8</v>
      </c>
      <c r="T62">
        <f t="shared" si="45"/>
        <v>3</v>
      </c>
      <c r="U62">
        <f t="shared" si="45"/>
        <v>8</v>
      </c>
      <c r="V62">
        <f t="shared" si="45"/>
        <v>9</v>
      </c>
    </row>
    <row r="63" spans="4:22"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0</v>
      </c>
      <c r="O63">
        <v>25</v>
      </c>
      <c r="P63">
        <v>24</v>
      </c>
      <c r="Q63">
        <v>28</v>
      </c>
      <c r="R63">
        <v>2</v>
      </c>
      <c r="S63">
        <v>1</v>
      </c>
      <c r="T63">
        <v>22</v>
      </c>
      <c r="U63">
        <v>14</v>
      </c>
      <c r="V63">
        <v>3</v>
      </c>
    </row>
    <row r="64" spans="4:22"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28</v>
      </c>
      <c r="P64">
        <v>4</v>
      </c>
      <c r="Q64">
        <v>18</v>
      </c>
      <c r="R64">
        <v>3</v>
      </c>
      <c r="S64">
        <v>13</v>
      </c>
      <c r="T64">
        <v>2</v>
      </c>
      <c r="U64">
        <v>23</v>
      </c>
      <c r="V64">
        <v>20</v>
      </c>
    </row>
    <row r="67" spans="4:22">
      <c r="D67">
        <v>15</v>
      </c>
      <c r="G67">
        <f t="shared" ref="G67:V67" si="46">MOD(G57-$D67*G$62,29)</f>
        <v>1</v>
      </c>
      <c r="H67">
        <f t="shared" si="46"/>
        <v>8</v>
      </c>
      <c r="I67">
        <f t="shared" si="46"/>
        <v>21</v>
      </c>
      <c r="J67">
        <f t="shared" si="46"/>
        <v>0</v>
      </c>
      <c r="K67">
        <f t="shared" si="46"/>
        <v>24</v>
      </c>
      <c r="L67">
        <f t="shared" si="46"/>
        <v>0</v>
      </c>
      <c r="M67">
        <f t="shared" si="46"/>
        <v>0</v>
      </c>
      <c r="N67">
        <f t="shared" si="46"/>
        <v>0</v>
      </c>
      <c r="O67">
        <f t="shared" si="46"/>
        <v>7</v>
      </c>
      <c r="P67">
        <f t="shared" si="46"/>
        <v>17</v>
      </c>
      <c r="Q67">
        <f t="shared" si="46"/>
        <v>10</v>
      </c>
      <c r="R67">
        <f t="shared" si="46"/>
        <v>7</v>
      </c>
      <c r="S67">
        <f t="shared" si="46"/>
        <v>11</v>
      </c>
      <c r="T67">
        <f t="shared" si="46"/>
        <v>22</v>
      </c>
      <c r="U67">
        <f t="shared" si="46"/>
        <v>27</v>
      </c>
      <c r="V67">
        <f t="shared" si="46"/>
        <v>13</v>
      </c>
    </row>
    <row r="68" spans="4:22">
      <c r="D68">
        <v>2</v>
      </c>
      <c r="G68">
        <f t="shared" ref="G68:V68" si="47">MOD(G58-$D68*G$62,29)</f>
        <v>0</v>
      </c>
      <c r="H68">
        <f t="shared" si="47"/>
        <v>1</v>
      </c>
      <c r="I68">
        <f t="shared" si="47"/>
        <v>7</v>
      </c>
      <c r="J68">
        <f t="shared" si="47"/>
        <v>6</v>
      </c>
      <c r="K68">
        <f t="shared" si="47"/>
        <v>3</v>
      </c>
      <c r="L68">
        <f t="shared" si="47"/>
        <v>0</v>
      </c>
      <c r="M68">
        <f t="shared" si="47"/>
        <v>0</v>
      </c>
      <c r="N68">
        <f t="shared" si="47"/>
        <v>0</v>
      </c>
      <c r="O68">
        <f t="shared" si="47"/>
        <v>11</v>
      </c>
      <c r="P68">
        <f t="shared" si="47"/>
        <v>23</v>
      </c>
      <c r="Q68">
        <f t="shared" si="47"/>
        <v>28</v>
      </c>
      <c r="R68">
        <f t="shared" si="47"/>
        <v>1</v>
      </c>
      <c r="S68">
        <f t="shared" si="47"/>
        <v>11</v>
      </c>
      <c r="T68">
        <f t="shared" si="47"/>
        <v>10</v>
      </c>
      <c r="U68">
        <f t="shared" si="47"/>
        <v>19</v>
      </c>
      <c r="V68">
        <f t="shared" si="47"/>
        <v>18</v>
      </c>
    </row>
    <row r="69" spans="4:22">
      <c r="D69">
        <v>3</v>
      </c>
      <c r="G69">
        <f t="shared" ref="G69:V69" si="48">MOD(G59-$D69*G$62,29)</f>
        <v>0</v>
      </c>
      <c r="H69">
        <f t="shared" si="48"/>
        <v>0</v>
      </c>
      <c r="I69">
        <f t="shared" si="48"/>
        <v>1</v>
      </c>
      <c r="J69">
        <f t="shared" si="48"/>
        <v>6</v>
      </c>
      <c r="K69">
        <f t="shared" si="48"/>
        <v>25</v>
      </c>
      <c r="L69">
        <f t="shared" si="48"/>
        <v>0</v>
      </c>
      <c r="M69">
        <f t="shared" si="48"/>
        <v>0</v>
      </c>
      <c r="N69">
        <f t="shared" si="48"/>
        <v>0</v>
      </c>
      <c r="O69">
        <f t="shared" si="48"/>
        <v>3</v>
      </c>
      <c r="P69">
        <f t="shared" si="48"/>
        <v>9</v>
      </c>
      <c r="Q69">
        <f t="shared" si="48"/>
        <v>10</v>
      </c>
      <c r="R69">
        <f t="shared" si="48"/>
        <v>8</v>
      </c>
      <c r="S69">
        <f t="shared" si="48"/>
        <v>5</v>
      </c>
      <c r="T69">
        <f t="shared" si="48"/>
        <v>9</v>
      </c>
      <c r="U69">
        <f t="shared" si="48"/>
        <v>21</v>
      </c>
      <c r="V69">
        <f t="shared" si="48"/>
        <v>3</v>
      </c>
    </row>
    <row r="70" spans="4:22">
      <c r="D70">
        <v>5</v>
      </c>
      <c r="G70">
        <f t="shared" ref="G70:V70" si="49">MOD(G60-$D70*G$62,29)</f>
        <v>0</v>
      </c>
      <c r="H70">
        <f t="shared" si="49"/>
        <v>0</v>
      </c>
      <c r="I70">
        <f t="shared" si="49"/>
        <v>0</v>
      </c>
      <c r="J70">
        <f t="shared" si="49"/>
        <v>1</v>
      </c>
      <c r="K70">
        <f t="shared" si="49"/>
        <v>24</v>
      </c>
      <c r="L70">
        <f t="shared" si="49"/>
        <v>0</v>
      </c>
      <c r="M70">
        <f t="shared" si="49"/>
        <v>0</v>
      </c>
      <c r="N70">
        <f t="shared" si="49"/>
        <v>0</v>
      </c>
      <c r="O70">
        <f t="shared" si="49"/>
        <v>15</v>
      </c>
      <c r="P70">
        <f t="shared" si="49"/>
        <v>5</v>
      </c>
      <c r="Q70">
        <f t="shared" si="49"/>
        <v>7</v>
      </c>
      <c r="R70">
        <f t="shared" si="49"/>
        <v>7</v>
      </c>
      <c r="S70">
        <f t="shared" si="49"/>
        <v>18</v>
      </c>
      <c r="T70">
        <f t="shared" si="49"/>
        <v>0</v>
      </c>
      <c r="U70">
        <f t="shared" si="49"/>
        <v>12</v>
      </c>
      <c r="V70">
        <f t="shared" si="49"/>
        <v>9</v>
      </c>
    </row>
    <row r="71" spans="4:22">
      <c r="D71">
        <v>11</v>
      </c>
      <c r="G71">
        <f>MOD(G61-$D71*G$62,29)</f>
        <v>0</v>
      </c>
      <c r="H71">
        <f t="shared" ref="H71:V71" si="50">MOD(H61-$D71*H$62,29)</f>
        <v>0</v>
      </c>
      <c r="I71">
        <f t="shared" si="50"/>
        <v>0</v>
      </c>
      <c r="J71">
        <f t="shared" si="50"/>
        <v>0</v>
      </c>
      <c r="K71">
        <f t="shared" si="50"/>
        <v>1</v>
      </c>
      <c r="L71">
        <f t="shared" si="50"/>
        <v>0</v>
      </c>
      <c r="M71">
        <f t="shared" si="50"/>
        <v>0</v>
      </c>
      <c r="N71">
        <f t="shared" si="50"/>
        <v>0</v>
      </c>
      <c r="O71">
        <f t="shared" si="50"/>
        <v>22</v>
      </c>
      <c r="P71">
        <f t="shared" si="50"/>
        <v>9</v>
      </c>
      <c r="Q71">
        <f t="shared" si="50"/>
        <v>26</v>
      </c>
      <c r="R71">
        <f t="shared" si="50"/>
        <v>6</v>
      </c>
      <c r="S71">
        <f t="shared" si="50"/>
        <v>5</v>
      </c>
      <c r="T71">
        <f t="shared" si="50"/>
        <v>3</v>
      </c>
      <c r="U71">
        <f t="shared" si="50"/>
        <v>6</v>
      </c>
      <c r="V71">
        <f t="shared" si="50"/>
        <v>27</v>
      </c>
    </row>
    <row r="72" spans="4:22"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14</v>
      </c>
      <c r="P72">
        <v>2</v>
      </c>
      <c r="Q72">
        <v>26</v>
      </c>
      <c r="R72">
        <v>13</v>
      </c>
      <c r="S72">
        <v>8</v>
      </c>
      <c r="T72">
        <v>3</v>
      </c>
      <c r="U72">
        <v>8</v>
      </c>
      <c r="V72">
        <v>9</v>
      </c>
    </row>
    <row r="73" spans="4:22"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0</v>
      </c>
      <c r="O73">
        <v>25</v>
      </c>
      <c r="P73">
        <v>24</v>
      </c>
      <c r="Q73">
        <v>28</v>
      </c>
      <c r="R73">
        <v>2</v>
      </c>
      <c r="S73">
        <v>1</v>
      </c>
      <c r="T73">
        <v>22</v>
      </c>
      <c r="U73">
        <v>14</v>
      </c>
      <c r="V73">
        <v>3</v>
      </c>
    </row>
    <row r="74" spans="4:22"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>
        <v>28</v>
      </c>
      <c r="P74">
        <v>4</v>
      </c>
      <c r="Q74">
        <v>18</v>
      </c>
      <c r="R74">
        <v>3</v>
      </c>
      <c r="S74">
        <v>13</v>
      </c>
      <c r="T74">
        <v>2</v>
      </c>
      <c r="U74">
        <v>23</v>
      </c>
      <c r="V74">
        <v>20</v>
      </c>
    </row>
    <row r="77" spans="4:22">
      <c r="D77">
        <v>24</v>
      </c>
      <c r="G77">
        <f t="shared" ref="G77:V77" si="51">MOD(G67-$D77*G$71,29)</f>
        <v>1</v>
      </c>
      <c r="H77">
        <f t="shared" si="51"/>
        <v>8</v>
      </c>
      <c r="I77">
        <f t="shared" si="51"/>
        <v>21</v>
      </c>
      <c r="J77">
        <f t="shared" si="51"/>
        <v>0</v>
      </c>
      <c r="K77">
        <f t="shared" si="51"/>
        <v>0</v>
      </c>
      <c r="L77">
        <f t="shared" si="51"/>
        <v>0</v>
      </c>
      <c r="M77">
        <f t="shared" si="51"/>
        <v>0</v>
      </c>
      <c r="N77">
        <f t="shared" si="51"/>
        <v>0</v>
      </c>
      <c r="O77">
        <f t="shared" si="51"/>
        <v>1</v>
      </c>
      <c r="P77">
        <f t="shared" si="51"/>
        <v>4</v>
      </c>
      <c r="Q77">
        <f t="shared" si="51"/>
        <v>24</v>
      </c>
      <c r="R77">
        <f t="shared" si="51"/>
        <v>8</v>
      </c>
      <c r="S77">
        <f t="shared" si="51"/>
        <v>7</v>
      </c>
      <c r="T77">
        <f t="shared" si="51"/>
        <v>8</v>
      </c>
      <c r="U77">
        <f t="shared" si="51"/>
        <v>28</v>
      </c>
      <c r="V77">
        <f t="shared" si="51"/>
        <v>3</v>
      </c>
    </row>
    <row r="78" spans="4:22">
      <c r="D78">
        <v>3</v>
      </c>
      <c r="G78">
        <f t="shared" ref="G78:V78" si="52">MOD(G68-$D78*G$71,29)</f>
        <v>0</v>
      </c>
      <c r="H78">
        <f t="shared" si="52"/>
        <v>1</v>
      </c>
      <c r="I78">
        <f t="shared" si="52"/>
        <v>7</v>
      </c>
      <c r="J78">
        <f t="shared" si="52"/>
        <v>6</v>
      </c>
      <c r="K78">
        <f t="shared" si="52"/>
        <v>0</v>
      </c>
      <c r="L78">
        <f t="shared" si="52"/>
        <v>0</v>
      </c>
      <c r="M78">
        <f t="shared" si="52"/>
        <v>0</v>
      </c>
      <c r="N78">
        <f t="shared" si="52"/>
        <v>0</v>
      </c>
      <c r="O78">
        <f t="shared" si="52"/>
        <v>3</v>
      </c>
      <c r="P78">
        <f t="shared" si="52"/>
        <v>25</v>
      </c>
      <c r="Q78">
        <f t="shared" si="52"/>
        <v>8</v>
      </c>
      <c r="R78">
        <f t="shared" si="52"/>
        <v>12</v>
      </c>
      <c r="S78">
        <f t="shared" si="52"/>
        <v>25</v>
      </c>
      <c r="T78">
        <f t="shared" si="52"/>
        <v>1</v>
      </c>
      <c r="U78">
        <f t="shared" si="52"/>
        <v>1</v>
      </c>
      <c r="V78">
        <f t="shared" si="52"/>
        <v>24</v>
      </c>
    </row>
    <row r="79" spans="4:22">
      <c r="D79">
        <v>25</v>
      </c>
      <c r="G79">
        <f t="shared" ref="G79:V79" si="53">MOD(G69-$D79*G$71,29)</f>
        <v>0</v>
      </c>
      <c r="H79">
        <f t="shared" si="53"/>
        <v>0</v>
      </c>
      <c r="I79">
        <f t="shared" si="53"/>
        <v>1</v>
      </c>
      <c r="J79">
        <f t="shared" si="53"/>
        <v>6</v>
      </c>
      <c r="K79">
        <f t="shared" si="53"/>
        <v>0</v>
      </c>
      <c r="L79">
        <f t="shared" si="53"/>
        <v>0</v>
      </c>
      <c r="M79">
        <f t="shared" si="53"/>
        <v>0</v>
      </c>
      <c r="N79">
        <f t="shared" si="53"/>
        <v>0</v>
      </c>
      <c r="O79">
        <f t="shared" si="53"/>
        <v>4</v>
      </c>
      <c r="P79">
        <f t="shared" si="53"/>
        <v>16</v>
      </c>
      <c r="Q79">
        <f t="shared" si="53"/>
        <v>27</v>
      </c>
      <c r="R79">
        <f t="shared" si="53"/>
        <v>3</v>
      </c>
      <c r="S79">
        <f t="shared" si="53"/>
        <v>25</v>
      </c>
      <c r="T79">
        <f t="shared" si="53"/>
        <v>21</v>
      </c>
      <c r="U79">
        <f t="shared" si="53"/>
        <v>16</v>
      </c>
      <c r="V79">
        <f t="shared" si="53"/>
        <v>24</v>
      </c>
    </row>
    <row r="80" spans="4:22">
      <c r="D80">
        <v>24</v>
      </c>
      <c r="G80">
        <f>MOD(G70-$D80*G$71,29)</f>
        <v>0</v>
      </c>
      <c r="H80">
        <f t="shared" ref="H80:V80" si="54">MOD(H70-$D80*H$71,29)</f>
        <v>0</v>
      </c>
      <c r="I80">
        <f t="shared" si="54"/>
        <v>0</v>
      </c>
      <c r="J80">
        <f t="shared" si="54"/>
        <v>1</v>
      </c>
      <c r="K80">
        <f t="shared" si="54"/>
        <v>0</v>
      </c>
      <c r="L80">
        <f t="shared" si="54"/>
        <v>0</v>
      </c>
      <c r="M80">
        <f t="shared" si="54"/>
        <v>0</v>
      </c>
      <c r="N80">
        <f t="shared" si="54"/>
        <v>0</v>
      </c>
      <c r="O80">
        <f t="shared" si="54"/>
        <v>9</v>
      </c>
      <c r="P80">
        <f t="shared" si="54"/>
        <v>21</v>
      </c>
      <c r="Q80">
        <f t="shared" si="54"/>
        <v>21</v>
      </c>
      <c r="R80">
        <f t="shared" si="54"/>
        <v>8</v>
      </c>
      <c r="S80">
        <f t="shared" si="54"/>
        <v>14</v>
      </c>
      <c r="T80">
        <f t="shared" si="54"/>
        <v>15</v>
      </c>
      <c r="U80">
        <f t="shared" si="54"/>
        <v>13</v>
      </c>
      <c r="V80">
        <f t="shared" si="54"/>
        <v>28</v>
      </c>
    </row>
    <row r="81" spans="4:22"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22</v>
      </c>
      <c r="P81">
        <v>9</v>
      </c>
      <c r="Q81">
        <v>26</v>
      </c>
      <c r="R81">
        <v>6</v>
      </c>
      <c r="S81">
        <v>5</v>
      </c>
      <c r="T81">
        <v>3</v>
      </c>
      <c r="U81">
        <v>6</v>
      </c>
      <c r="V81">
        <v>27</v>
      </c>
    </row>
    <row r="82" spans="4:22"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14</v>
      </c>
      <c r="P82">
        <v>2</v>
      </c>
      <c r="Q82">
        <v>26</v>
      </c>
      <c r="R82">
        <v>13</v>
      </c>
      <c r="S82">
        <v>8</v>
      </c>
      <c r="T82">
        <v>3</v>
      </c>
      <c r="U82">
        <v>8</v>
      </c>
      <c r="V82">
        <v>9</v>
      </c>
    </row>
    <row r="83" spans="4:22"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</v>
      </c>
      <c r="N83">
        <v>0</v>
      </c>
      <c r="O83">
        <v>25</v>
      </c>
      <c r="P83">
        <v>24</v>
      </c>
      <c r="Q83">
        <v>28</v>
      </c>
      <c r="R83">
        <v>2</v>
      </c>
      <c r="S83">
        <v>1</v>
      </c>
      <c r="T83">
        <v>22</v>
      </c>
      <c r="U83">
        <v>14</v>
      </c>
      <c r="V83">
        <v>3</v>
      </c>
    </row>
    <row r="84" spans="4:22"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</v>
      </c>
      <c r="O84">
        <v>28</v>
      </c>
      <c r="P84">
        <v>4</v>
      </c>
      <c r="Q84">
        <v>18</v>
      </c>
      <c r="R84">
        <v>3</v>
      </c>
      <c r="S84">
        <v>13</v>
      </c>
      <c r="T84">
        <v>2</v>
      </c>
      <c r="U84">
        <v>23</v>
      </c>
      <c r="V84">
        <v>20</v>
      </c>
    </row>
    <row r="87" spans="4:22">
      <c r="D87">
        <v>0</v>
      </c>
      <c r="G87">
        <f t="shared" ref="G87:V87" si="55">MOD(G77-$D87*G$80,29)</f>
        <v>1</v>
      </c>
      <c r="H87">
        <f t="shared" si="55"/>
        <v>8</v>
      </c>
      <c r="I87">
        <f t="shared" si="55"/>
        <v>21</v>
      </c>
      <c r="J87">
        <f t="shared" si="55"/>
        <v>0</v>
      </c>
      <c r="K87">
        <f t="shared" si="55"/>
        <v>0</v>
      </c>
      <c r="L87">
        <f t="shared" si="55"/>
        <v>0</v>
      </c>
      <c r="M87">
        <f t="shared" si="55"/>
        <v>0</v>
      </c>
      <c r="N87">
        <f t="shared" si="55"/>
        <v>0</v>
      </c>
      <c r="O87">
        <f t="shared" si="55"/>
        <v>1</v>
      </c>
      <c r="P87">
        <f t="shared" si="55"/>
        <v>4</v>
      </c>
      <c r="Q87">
        <f t="shared" si="55"/>
        <v>24</v>
      </c>
      <c r="R87">
        <f t="shared" si="55"/>
        <v>8</v>
      </c>
      <c r="S87">
        <f t="shared" si="55"/>
        <v>7</v>
      </c>
      <c r="T87">
        <f t="shared" si="55"/>
        <v>8</v>
      </c>
      <c r="U87">
        <f t="shared" si="55"/>
        <v>28</v>
      </c>
      <c r="V87">
        <f t="shared" si="55"/>
        <v>3</v>
      </c>
    </row>
    <row r="88" spans="4:22">
      <c r="D88">
        <v>6</v>
      </c>
      <c r="G88">
        <f t="shared" ref="G88:V88" si="56">MOD(G78-$D88*G$80,29)</f>
        <v>0</v>
      </c>
      <c r="H88">
        <f t="shared" si="56"/>
        <v>1</v>
      </c>
      <c r="I88">
        <f t="shared" si="56"/>
        <v>7</v>
      </c>
      <c r="J88">
        <f t="shared" si="56"/>
        <v>0</v>
      </c>
      <c r="K88">
        <f t="shared" si="56"/>
        <v>0</v>
      </c>
      <c r="L88">
        <f t="shared" si="56"/>
        <v>0</v>
      </c>
      <c r="M88">
        <f t="shared" si="56"/>
        <v>0</v>
      </c>
      <c r="N88">
        <f t="shared" si="56"/>
        <v>0</v>
      </c>
      <c r="O88">
        <f t="shared" si="56"/>
        <v>7</v>
      </c>
      <c r="P88">
        <f t="shared" si="56"/>
        <v>15</v>
      </c>
      <c r="Q88">
        <f t="shared" si="56"/>
        <v>27</v>
      </c>
      <c r="R88">
        <f t="shared" si="56"/>
        <v>22</v>
      </c>
      <c r="S88">
        <f t="shared" si="56"/>
        <v>28</v>
      </c>
      <c r="T88">
        <f t="shared" si="56"/>
        <v>27</v>
      </c>
      <c r="U88">
        <f t="shared" si="56"/>
        <v>10</v>
      </c>
      <c r="V88">
        <f t="shared" si="56"/>
        <v>1</v>
      </c>
    </row>
    <row r="89" spans="4:22">
      <c r="D89">
        <v>6</v>
      </c>
      <c r="G89">
        <f>MOD(G79-$D89*G$80,29)</f>
        <v>0</v>
      </c>
      <c r="H89">
        <f t="shared" ref="H89:V89" si="57">MOD(H79-$D89*H$80,29)</f>
        <v>0</v>
      </c>
      <c r="I89">
        <f t="shared" si="57"/>
        <v>1</v>
      </c>
      <c r="J89">
        <f t="shared" si="57"/>
        <v>0</v>
      </c>
      <c r="K89">
        <f t="shared" si="57"/>
        <v>0</v>
      </c>
      <c r="L89">
        <f t="shared" si="57"/>
        <v>0</v>
      </c>
      <c r="M89">
        <f t="shared" si="57"/>
        <v>0</v>
      </c>
      <c r="N89">
        <f t="shared" si="57"/>
        <v>0</v>
      </c>
      <c r="O89">
        <f t="shared" si="57"/>
        <v>8</v>
      </c>
      <c r="P89">
        <f t="shared" si="57"/>
        <v>6</v>
      </c>
      <c r="Q89">
        <f t="shared" si="57"/>
        <v>17</v>
      </c>
      <c r="R89">
        <f t="shared" si="57"/>
        <v>13</v>
      </c>
      <c r="S89">
        <f t="shared" si="57"/>
        <v>28</v>
      </c>
      <c r="T89">
        <f t="shared" si="57"/>
        <v>18</v>
      </c>
      <c r="U89">
        <f t="shared" si="57"/>
        <v>25</v>
      </c>
      <c r="V89">
        <f t="shared" si="57"/>
        <v>1</v>
      </c>
    </row>
    <row r="90" spans="4:22"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9</v>
      </c>
      <c r="P90">
        <v>21</v>
      </c>
      <c r="Q90">
        <v>21</v>
      </c>
      <c r="R90">
        <v>8</v>
      </c>
      <c r="S90">
        <v>14</v>
      </c>
      <c r="T90">
        <v>15</v>
      </c>
      <c r="U90">
        <v>13</v>
      </c>
      <c r="V90">
        <v>28</v>
      </c>
    </row>
    <row r="91" spans="4:22">
      <c r="G91">
        <v>0</v>
      </c>
      <c r="H91">
        <v>0</v>
      </c>
      <c r="I91">
        <v>0</v>
      </c>
      <c r="J91">
        <v>0</v>
      </c>
      <c r="K91">
        <v>1</v>
      </c>
      <c r="L91">
        <v>0</v>
      </c>
      <c r="M91">
        <v>0</v>
      </c>
      <c r="N91">
        <v>0</v>
      </c>
      <c r="O91">
        <v>22</v>
      </c>
      <c r="P91">
        <v>9</v>
      </c>
      <c r="Q91">
        <v>26</v>
      </c>
      <c r="R91">
        <v>6</v>
      </c>
      <c r="S91">
        <v>5</v>
      </c>
      <c r="T91">
        <v>3</v>
      </c>
      <c r="U91">
        <v>6</v>
      </c>
      <c r="V91">
        <v>27</v>
      </c>
    </row>
    <row r="92" spans="4:22"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14</v>
      </c>
      <c r="P92">
        <v>2</v>
      </c>
      <c r="Q92">
        <v>26</v>
      </c>
      <c r="R92">
        <v>13</v>
      </c>
      <c r="S92">
        <v>8</v>
      </c>
      <c r="T92">
        <v>3</v>
      </c>
      <c r="U92">
        <v>8</v>
      </c>
      <c r="V92">
        <v>9</v>
      </c>
    </row>
    <row r="93" spans="4:22"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0</v>
      </c>
      <c r="O93">
        <v>25</v>
      </c>
      <c r="P93">
        <v>24</v>
      </c>
      <c r="Q93">
        <v>28</v>
      </c>
      <c r="R93">
        <v>2</v>
      </c>
      <c r="S93">
        <v>1</v>
      </c>
      <c r="T93">
        <v>22</v>
      </c>
      <c r="U93">
        <v>14</v>
      </c>
      <c r="V93">
        <v>3</v>
      </c>
    </row>
    <row r="94" spans="4:22"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1</v>
      </c>
      <c r="O94">
        <v>28</v>
      </c>
      <c r="P94">
        <v>4</v>
      </c>
      <c r="Q94">
        <v>18</v>
      </c>
      <c r="R94">
        <v>3</v>
      </c>
      <c r="S94">
        <v>13</v>
      </c>
      <c r="T94">
        <v>2</v>
      </c>
      <c r="U94">
        <v>23</v>
      </c>
      <c r="V94">
        <v>20</v>
      </c>
    </row>
    <row r="97" spans="4:22">
      <c r="D97">
        <v>21</v>
      </c>
      <c r="G97">
        <f t="shared" ref="G97:V97" si="58">MOD(G87-$D97*G$89,29)</f>
        <v>1</v>
      </c>
      <c r="H97">
        <f t="shared" si="58"/>
        <v>8</v>
      </c>
      <c r="I97">
        <f t="shared" si="58"/>
        <v>0</v>
      </c>
      <c r="J97">
        <f t="shared" si="58"/>
        <v>0</v>
      </c>
      <c r="K97">
        <f t="shared" si="58"/>
        <v>0</v>
      </c>
      <c r="L97">
        <f t="shared" si="58"/>
        <v>0</v>
      </c>
      <c r="M97">
        <f t="shared" si="58"/>
        <v>0</v>
      </c>
      <c r="N97">
        <f t="shared" si="58"/>
        <v>0</v>
      </c>
      <c r="O97">
        <f t="shared" si="58"/>
        <v>7</v>
      </c>
      <c r="P97">
        <f t="shared" si="58"/>
        <v>23</v>
      </c>
      <c r="Q97">
        <f t="shared" si="58"/>
        <v>15</v>
      </c>
      <c r="R97">
        <f t="shared" si="58"/>
        <v>25</v>
      </c>
      <c r="S97">
        <f t="shared" si="58"/>
        <v>28</v>
      </c>
      <c r="T97">
        <f t="shared" si="58"/>
        <v>7</v>
      </c>
      <c r="U97">
        <f t="shared" si="58"/>
        <v>25</v>
      </c>
      <c r="V97">
        <f t="shared" si="58"/>
        <v>11</v>
      </c>
    </row>
    <row r="98" spans="4:22">
      <c r="D98">
        <v>7</v>
      </c>
      <c r="G98">
        <f>MOD(G88-$D98*G$89,29)</f>
        <v>0</v>
      </c>
      <c r="H98">
        <f t="shared" ref="H98:V98" si="59">MOD(H88-$D98*H$89,29)</f>
        <v>1</v>
      </c>
      <c r="I98">
        <f t="shared" si="59"/>
        <v>0</v>
      </c>
      <c r="J98">
        <f t="shared" si="59"/>
        <v>0</v>
      </c>
      <c r="K98">
        <f t="shared" si="59"/>
        <v>0</v>
      </c>
      <c r="L98">
        <f t="shared" si="59"/>
        <v>0</v>
      </c>
      <c r="M98">
        <f t="shared" si="59"/>
        <v>0</v>
      </c>
      <c r="N98">
        <f t="shared" si="59"/>
        <v>0</v>
      </c>
      <c r="O98">
        <f t="shared" si="59"/>
        <v>9</v>
      </c>
      <c r="P98">
        <f t="shared" si="59"/>
        <v>2</v>
      </c>
      <c r="Q98">
        <f t="shared" si="59"/>
        <v>24</v>
      </c>
      <c r="R98">
        <f t="shared" si="59"/>
        <v>18</v>
      </c>
      <c r="S98">
        <f t="shared" si="59"/>
        <v>6</v>
      </c>
      <c r="T98">
        <f t="shared" si="59"/>
        <v>17</v>
      </c>
      <c r="U98">
        <f t="shared" si="59"/>
        <v>9</v>
      </c>
      <c r="V98">
        <f t="shared" si="59"/>
        <v>23</v>
      </c>
    </row>
    <row r="99" spans="4:22">
      <c r="G99">
        <v>0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8</v>
      </c>
      <c r="P99">
        <v>6</v>
      </c>
      <c r="Q99">
        <v>17</v>
      </c>
      <c r="R99">
        <v>13</v>
      </c>
      <c r="S99">
        <v>28</v>
      </c>
      <c r="T99">
        <v>18</v>
      </c>
      <c r="U99">
        <v>25</v>
      </c>
      <c r="V99">
        <v>1</v>
      </c>
    </row>
    <row r="100" spans="4:22"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9</v>
      </c>
      <c r="P100">
        <v>21</v>
      </c>
      <c r="Q100">
        <v>21</v>
      </c>
      <c r="R100">
        <v>8</v>
      </c>
      <c r="S100">
        <v>14</v>
      </c>
      <c r="T100">
        <v>15</v>
      </c>
      <c r="U100">
        <v>13</v>
      </c>
      <c r="V100">
        <v>28</v>
      </c>
    </row>
    <row r="101" spans="4:22">
      <c r="G101">
        <v>0</v>
      </c>
      <c r="H101">
        <v>0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22</v>
      </c>
      <c r="P101">
        <v>9</v>
      </c>
      <c r="Q101">
        <v>26</v>
      </c>
      <c r="R101">
        <v>6</v>
      </c>
      <c r="S101">
        <v>5</v>
      </c>
      <c r="T101">
        <v>3</v>
      </c>
      <c r="U101">
        <v>6</v>
      </c>
      <c r="V101">
        <v>27</v>
      </c>
    </row>
    <row r="102" spans="4:22"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14</v>
      </c>
      <c r="P102">
        <v>2</v>
      </c>
      <c r="Q102">
        <v>26</v>
      </c>
      <c r="R102">
        <v>13</v>
      </c>
      <c r="S102">
        <v>8</v>
      </c>
      <c r="T102">
        <v>3</v>
      </c>
      <c r="U102">
        <v>8</v>
      </c>
      <c r="V102">
        <v>9</v>
      </c>
    </row>
    <row r="103" spans="4:22"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25</v>
      </c>
      <c r="P103">
        <v>24</v>
      </c>
      <c r="Q103">
        <v>28</v>
      </c>
      <c r="R103">
        <v>2</v>
      </c>
      <c r="S103">
        <v>1</v>
      </c>
      <c r="T103">
        <v>22</v>
      </c>
      <c r="U103">
        <v>14</v>
      </c>
      <c r="V103">
        <v>3</v>
      </c>
    </row>
    <row r="104" spans="4:22"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28</v>
      </c>
      <c r="P104">
        <v>4</v>
      </c>
      <c r="Q104">
        <v>18</v>
      </c>
      <c r="R104">
        <v>3</v>
      </c>
      <c r="S104">
        <v>13</v>
      </c>
      <c r="T104">
        <v>2</v>
      </c>
      <c r="U104">
        <v>23</v>
      </c>
      <c r="V104">
        <v>20</v>
      </c>
    </row>
    <row r="107" spans="4:22">
      <c r="D107">
        <v>8</v>
      </c>
      <c r="G107">
        <f>MOD(G97-$D107*G$98,29)</f>
        <v>1</v>
      </c>
      <c r="H107">
        <f t="shared" ref="H107:V107" si="60">MOD(H97-$D107*H$98,29)</f>
        <v>0</v>
      </c>
      <c r="I107">
        <f t="shared" si="60"/>
        <v>0</v>
      </c>
      <c r="J107">
        <f t="shared" si="60"/>
        <v>0</v>
      </c>
      <c r="K107">
        <f t="shared" si="60"/>
        <v>0</v>
      </c>
      <c r="L107">
        <f t="shared" si="60"/>
        <v>0</v>
      </c>
      <c r="M107">
        <f t="shared" si="60"/>
        <v>0</v>
      </c>
      <c r="N107">
        <f t="shared" si="60"/>
        <v>0</v>
      </c>
      <c r="O107" s="11">
        <f t="shared" si="60"/>
        <v>22</v>
      </c>
      <c r="P107" s="11">
        <f t="shared" si="60"/>
        <v>7</v>
      </c>
      <c r="Q107" s="11">
        <f t="shared" si="60"/>
        <v>26</v>
      </c>
      <c r="R107" s="11">
        <f t="shared" si="60"/>
        <v>26</v>
      </c>
      <c r="S107" s="11">
        <f t="shared" si="60"/>
        <v>9</v>
      </c>
      <c r="T107" s="11">
        <f t="shared" si="60"/>
        <v>16</v>
      </c>
      <c r="U107" s="11">
        <f t="shared" si="60"/>
        <v>11</v>
      </c>
      <c r="V107" s="11">
        <f t="shared" si="60"/>
        <v>1</v>
      </c>
    </row>
    <row r="108" spans="4:22"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 s="11">
        <v>9</v>
      </c>
      <c r="P108" s="11">
        <v>2</v>
      </c>
      <c r="Q108" s="11">
        <v>24</v>
      </c>
      <c r="R108" s="11">
        <v>18</v>
      </c>
      <c r="S108" s="11">
        <v>6</v>
      </c>
      <c r="T108" s="11">
        <v>17</v>
      </c>
      <c r="U108" s="11">
        <v>9</v>
      </c>
      <c r="V108" s="11">
        <v>23</v>
      </c>
    </row>
    <row r="109" spans="4:22"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 s="11">
        <v>8</v>
      </c>
      <c r="P109" s="11">
        <v>6</v>
      </c>
      <c r="Q109" s="11">
        <v>17</v>
      </c>
      <c r="R109" s="11">
        <v>13</v>
      </c>
      <c r="S109" s="11">
        <v>28</v>
      </c>
      <c r="T109" s="11">
        <v>18</v>
      </c>
      <c r="U109" s="11">
        <v>25</v>
      </c>
      <c r="V109" s="11">
        <v>1</v>
      </c>
    </row>
    <row r="110" spans="4:22"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 s="11">
        <v>9</v>
      </c>
      <c r="P110" s="11">
        <v>21</v>
      </c>
      <c r="Q110" s="11">
        <v>21</v>
      </c>
      <c r="R110" s="11">
        <v>8</v>
      </c>
      <c r="S110" s="11">
        <v>14</v>
      </c>
      <c r="T110" s="11">
        <v>15</v>
      </c>
      <c r="U110" s="11">
        <v>13</v>
      </c>
      <c r="V110" s="11">
        <v>28</v>
      </c>
    </row>
    <row r="111" spans="4:22">
      <c r="G111">
        <v>0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 s="11">
        <v>22</v>
      </c>
      <c r="P111" s="11">
        <v>9</v>
      </c>
      <c r="Q111" s="11">
        <v>26</v>
      </c>
      <c r="R111" s="11">
        <v>6</v>
      </c>
      <c r="S111" s="11">
        <v>5</v>
      </c>
      <c r="T111" s="11">
        <v>3</v>
      </c>
      <c r="U111" s="11">
        <v>6</v>
      </c>
      <c r="V111" s="11">
        <v>27</v>
      </c>
    </row>
    <row r="112" spans="4:22"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 s="11">
        <v>14</v>
      </c>
      <c r="P112" s="11">
        <v>2</v>
      </c>
      <c r="Q112" s="11">
        <v>26</v>
      </c>
      <c r="R112" s="11">
        <v>13</v>
      </c>
      <c r="S112" s="11">
        <v>8</v>
      </c>
      <c r="T112" s="11">
        <v>3</v>
      </c>
      <c r="U112" s="11">
        <v>8</v>
      </c>
      <c r="V112" s="11">
        <v>9</v>
      </c>
    </row>
    <row r="113" spans="7:22"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0</v>
      </c>
      <c r="O113" s="11">
        <v>25</v>
      </c>
      <c r="P113" s="11">
        <v>24</v>
      </c>
      <c r="Q113" s="11">
        <v>28</v>
      </c>
      <c r="R113" s="11">
        <v>2</v>
      </c>
      <c r="S113" s="11">
        <v>1</v>
      </c>
      <c r="T113" s="11">
        <v>22</v>
      </c>
      <c r="U113" s="11">
        <v>14</v>
      </c>
      <c r="V113" s="11">
        <v>3</v>
      </c>
    </row>
    <row r="114" spans="7:22"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1</v>
      </c>
      <c r="O114" s="11">
        <v>28</v>
      </c>
      <c r="P114" s="11">
        <v>4</v>
      </c>
      <c r="Q114" s="11">
        <v>18</v>
      </c>
      <c r="R114" s="11">
        <v>3</v>
      </c>
      <c r="S114" s="11">
        <v>13</v>
      </c>
      <c r="T114" s="11">
        <v>2</v>
      </c>
      <c r="U114" s="11">
        <v>23</v>
      </c>
      <c r="V114" s="11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1:L9"/>
  <sheetViews>
    <sheetView tabSelected="1" topLeftCell="B1" zoomScale="280" zoomScaleNormal="280" workbookViewId="0">
      <selection activeCell="C12" sqref="C12"/>
    </sheetView>
  </sheetViews>
  <sheetFormatPr defaultRowHeight="15"/>
  <cols>
    <col min="3" max="3" width="6.5703125" customWidth="1"/>
    <col min="4" max="4" width="5.85546875" customWidth="1"/>
    <col min="5" max="6" width="6.28515625" customWidth="1"/>
    <col min="7" max="7" width="5.7109375" customWidth="1"/>
    <col min="8" max="8" width="6.5703125" customWidth="1"/>
    <col min="9" max="9" width="4.7109375" customWidth="1"/>
    <col min="10" max="10" width="5.28515625" style="31" customWidth="1"/>
    <col min="11" max="11" width="6.5703125" customWidth="1"/>
    <col min="12" max="12" width="4.5703125" customWidth="1"/>
  </cols>
  <sheetData>
    <row r="1" spans="2:12" ht="21">
      <c r="C1" s="34" t="s">
        <v>9</v>
      </c>
    </row>
    <row r="3" spans="2:12" ht="15.75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</row>
    <row r="4" spans="2:12">
      <c r="B4">
        <v>1</v>
      </c>
      <c r="C4" s="2">
        <v>0</v>
      </c>
      <c r="D4" s="3">
        <v>0</v>
      </c>
      <c r="E4" s="3">
        <v>1</v>
      </c>
      <c r="F4" s="3">
        <v>0</v>
      </c>
      <c r="G4" s="3">
        <v>0</v>
      </c>
      <c r="H4" s="4">
        <v>0</v>
      </c>
      <c r="J4" s="31">
        <v>10</v>
      </c>
      <c r="L4">
        <f t="array" ref="L4:L9">MMULT(C4:H9,J4:J9)</f>
        <v>30</v>
      </c>
    </row>
    <row r="5" spans="2:12">
      <c r="B5">
        <v>2</v>
      </c>
      <c r="C5" s="5">
        <v>1</v>
      </c>
      <c r="D5" s="1">
        <v>0</v>
      </c>
      <c r="E5" s="1">
        <v>0</v>
      </c>
      <c r="F5" s="1">
        <v>0</v>
      </c>
      <c r="G5" s="1">
        <v>0</v>
      </c>
      <c r="H5" s="6">
        <v>0</v>
      </c>
      <c r="J5" s="31">
        <v>20</v>
      </c>
      <c r="L5">
        <v>10</v>
      </c>
    </row>
    <row r="6" spans="2:12" ht="18.75">
      <c r="B6">
        <v>3</v>
      </c>
      <c r="C6" s="5">
        <v>0</v>
      </c>
      <c r="D6" s="1">
        <v>1</v>
      </c>
      <c r="E6" s="1">
        <v>0</v>
      </c>
      <c r="F6" s="1">
        <v>0</v>
      </c>
      <c r="G6" s="1">
        <v>0</v>
      </c>
      <c r="H6" s="6">
        <v>0</v>
      </c>
      <c r="I6" s="49" t="s">
        <v>6</v>
      </c>
      <c r="J6" s="31">
        <v>30</v>
      </c>
      <c r="K6" s="47" t="s">
        <v>7</v>
      </c>
      <c r="L6">
        <v>20</v>
      </c>
    </row>
    <row r="7" spans="2:12">
      <c r="B7">
        <v>4</v>
      </c>
      <c r="C7" s="5">
        <v>0</v>
      </c>
      <c r="D7" s="1">
        <v>0</v>
      </c>
      <c r="E7" s="1">
        <v>0</v>
      </c>
      <c r="F7" s="1">
        <v>0</v>
      </c>
      <c r="G7" s="1">
        <v>0</v>
      </c>
      <c r="H7" s="6">
        <v>1</v>
      </c>
      <c r="J7" s="31">
        <v>40</v>
      </c>
      <c r="L7">
        <v>60</v>
      </c>
    </row>
    <row r="8" spans="2:12">
      <c r="B8">
        <v>5</v>
      </c>
      <c r="C8" s="5">
        <v>0</v>
      </c>
      <c r="D8" s="1">
        <v>0</v>
      </c>
      <c r="E8" s="1">
        <v>0</v>
      </c>
      <c r="F8" s="1">
        <v>1</v>
      </c>
      <c r="G8" s="1">
        <v>0</v>
      </c>
      <c r="H8" s="6">
        <v>0</v>
      </c>
      <c r="J8" s="31">
        <v>50</v>
      </c>
      <c r="L8">
        <v>40</v>
      </c>
    </row>
    <row r="9" spans="2:12" ht="15.75" thickBot="1">
      <c r="B9">
        <v>6</v>
      </c>
      <c r="C9" s="7">
        <v>0</v>
      </c>
      <c r="D9" s="8">
        <v>0</v>
      </c>
      <c r="E9" s="8">
        <v>0</v>
      </c>
      <c r="F9" s="8">
        <v>0</v>
      </c>
      <c r="G9" s="8">
        <v>1</v>
      </c>
      <c r="H9" s="9">
        <v>0</v>
      </c>
      <c r="J9" s="31">
        <v>60</v>
      </c>
      <c r="L9">
        <v>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Z16"/>
  <sheetViews>
    <sheetView workbookViewId="0">
      <selection activeCell="I1" sqref="I1:P1"/>
    </sheetView>
  </sheetViews>
  <sheetFormatPr defaultColWidth="3.7109375" defaultRowHeight="15"/>
  <sheetData>
    <row r="1" spans="1:78">
      <c r="A1" s="11" t="s">
        <v>12</v>
      </c>
      <c r="B1" s="11" t="s">
        <v>18</v>
      </c>
      <c r="C1" s="11" t="s">
        <v>13</v>
      </c>
      <c r="D1" s="11" t="s">
        <v>14</v>
      </c>
      <c r="E1" s="11" t="s">
        <v>15</v>
      </c>
      <c r="F1" s="11" t="s">
        <v>16</v>
      </c>
      <c r="G1" s="11" t="s">
        <v>17</v>
      </c>
      <c r="H1" s="11" t="s">
        <v>3</v>
      </c>
      <c r="I1" s="48" t="s">
        <v>19</v>
      </c>
      <c r="J1" s="48" t="s">
        <v>20</v>
      </c>
      <c r="K1" s="48" t="s">
        <v>3</v>
      </c>
      <c r="L1" s="48" t="s">
        <v>8</v>
      </c>
      <c r="M1" s="48" t="s">
        <v>22</v>
      </c>
      <c r="N1" s="48" t="s">
        <v>13</v>
      </c>
      <c r="O1" s="48" t="s">
        <v>24</v>
      </c>
      <c r="P1" s="48" t="s">
        <v>23</v>
      </c>
      <c r="Q1" s="11" t="s">
        <v>8</v>
      </c>
      <c r="R1" s="11" t="s">
        <v>17</v>
      </c>
      <c r="S1" s="11" t="s">
        <v>5</v>
      </c>
      <c r="T1" s="11" t="s">
        <v>20</v>
      </c>
      <c r="U1" s="11"/>
      <c r="V1" s="11" t="s">
        <v>25</v>
      </c>
      <c r="W1" s="11" t="s">
        <v>18</v>
      </c>
      <c r="X1" s="11" t="s">
        <v>26</v>
      </c>
      <c r="Y1" s="48" t="s">
        <v>17</v>
      </c>
      <c r="Z1" s="48" t="s">
        <v>5</v>
      </c>
      <c r="AA1" s="48" t="s">
        <v>18</v>
      </c>
      <c r="AB1" s="48" t="s">
        <v>3</v>
      </c>
      <c r="AC1" s="48" t="s">
        <v>21</v>
      </c>
      <c r="AD1" s="48" t="s">
        <v>17</v>
      </c>
      <c r="AE1" s="48" t="s">
        <v>13</v>
      </c>
      <c r="AF1" s="48" t="s">
        <v>16</v>
      </c>
      <c r="AG1" s="11" t="s">
        <v>2</v>
      </c>
      <c r="AH1" s="11" t="s">
        <v>27</v>
      </c>
      <c r="AI1" s="11" t="s">
        <v>19</v>
      </c>
      <c r="AJ1" s="11" t="s">
        <v>2</v>
      </c>
      <c r="AK1" s="11" t="s">
        <v>14</v>
      </c>
      <c r="AL1" s="11" t="s">
        <v>13</v>
      </c>
      <c r="AM1" s="11" t="s">
        <v>15</v>
      </c>
      <c r="AN1" s="11" t="s">
        <v>3</v>
      </c>
      <c r="AO1" s="48" t="s">
        <v>5</v>
      </c>
      <c r="AP1" s="48" t="s">
        <v>17</v>
      </c>
      <c r="AQ1" s="48" t="s">
        <v>28</v>
      </c>
      <c r="AR1" s="48" t="s">
        <v>18</v>
      </c>
      <c r="AS1" s="48" t="s">
        <v>15</v>
      </c>
      <c r="AT1" s="48" t="s">
        <v>25</v>
      </c>
      <c r="AU1" s="48" t="s">
        <v>29</v>
      </c>
      <c r="AV1" s="48" t="s">
        <v>3</v>
      </c>
      <c r="AW1" s="11" t="s">
        <v>8</v>
      </c>
      <c r="AX1" s="11" t="s">
        <v>18</v>
      </c>
      <c r="AY1" s="11" t="s">
        <v>8</v>
      </c>
      <c r="AZ1" s="11" t="s">
        <v>2</v>
      </c>
      <c r="BA1" s="11" t="s">
        <v>15</v>
      </c>
      <c r="BB1" s="11" t="s">
        <v>25</v>
      </c>
      <c r="BC1" s="11" t="s">
        <v>3</v>
      </c>
      <c r="BD1" s="11" t="s">
        <v>2</v>
      </c>
      <c r="BE1" s="48" t="s">
        <v>3</v>
      </c>
      <c r="BF1" s="48" t="s">
        <v>21</v>
      </c>
      <c r="BG1" s="48" t="s">
        <v>2</v>
      </c>
      <c r="BH1" s="48" t="s">
        <v>28</v>
      </c>
      <c r="BI1" s="48" t="s">
        <v>15</v>
      </c>
      <c r="BJ1" s="48" t="s">
        <v>5</v>
      </c>
      <c r="BK1" s="48" t="s">
        <v>24</v>
      </c>
      <c r="BL1" s="48" t="s">
        <v>2</v>
      </c>
      <c r="BM1" s="11" t="s">
        <v>25</v>
      </c>
      <c r="BN1" s="11" t="s">
        <v>24</v>
      </c>
      <c r="BO1" s="11" t="s">
        <v>0</v>
      </c>
      <c r="BP1" s="11"/>
      <c r="BQ1" s="11"/>
      <c r="BR1" s="11"/>
      <c r="BS1" s="11"/>
      <c r="BT1" s="11"/>
      <c r="BU1" s="48"/>
      <c r="BV1" s="48"/>
      <c r="BW1" s="48"/>
      <c r="BX1" s="48"/>
      <c r="BY1" s="48"/>
      <c r="BZ1" s="48"/>
    </row>
    <row r="9" spans="1:78">
      <c r="A9" t="s">
        <v>4</v>
      </c>
    </row>
    <row r="10" spans="1:78">
      <c r="A10" t="s">
        <v>25</v>
      </c>
    </row>
    <row r="11" spans="1:78">
      <c r="A11" t="s">
        <v>6</v>
      </c>
    </row>
    <row r="12" spans="1:78">
      <c r="A12" t="s">
        <v>12</v>
      </c>
    </row>
    <row r="13" spans="1:78">
      <c r="A13" t="s">
        <v>6</v>
      </c>
    </row>
    <row r="14" spans="1:78">
      <c r="A14" t="s">
        <v>12</v>
      </c>
    </row>
    <row r="15" spans="1:78">
      <c r="A15" t="s">
        <v>30</v>
      </c>
    </row>
    <row r="16" spans="1:78">
      <c r="A16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5</vt:i4>
      </vt:variant>
    </vt:vector>
  </HeadingPairs>
  <TitlesOfParts>
    <vt:vector size="5" baseType="lpstr">
      <vt:lpstr>Hárok1</vt:lpstr>
      <vt:lpstr>Hárok2</vt:lpstr>
      <vt:lpstr>Hárok3</vt:lpstr>
      <vt:lpstr>Hárok4</vt:lpstr>
      <vt:lpstr>Hárok5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Stanislav Palúch</dc:creator>
  <cp:lastModifiedBy>Stanislav Palúch</cp:lastModifiedBy>
  <dcterms:created xsi:type="dcterms:W3CDTF">2011-10-18T08:46:55Z</dcterms:created>
  <dcterms:modified xsi:type="dcterms:W3CDTF">2011-10-19T12:47:50Z</dcterms:modified>
</cp:coreProperties>
</file>